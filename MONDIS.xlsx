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C:\Users\hesalinas\Pictures\CERTIFICADOS\MONDIS\"/>
    </mc:Choice>
  </mc:AlternateContent>
  <xr:revisionPtr revIDLastSave="0" documentId="8_{8ADD00CE-A50C-4386-B95D-2B13054EB24E}" xr6:coauthVersionLast="47" xr6:coauthVersionMax="47" xr10:uidLastSave="{00000000-0000-0000-0000-000000000000}"/>
  <bookViews>
    <workbookView xWindow="-120" yWindow="-120" windowWidth="29040" windowHeight="15720" xr2:uid="{00000000-000D-0000-FFFF-FFFF00000000}"/>
  </bookViews>
  <sheets>
    <sheet name="Central de Monitoreo de Temp" sheetId="4" r:id="rId1"/>
    <sheet name="Hoja1" sheetId="5" r:id="rId2"/>
  </sheets>
  <definedNames>
    <definedName name="_xlnm.Print_Area" localSheetId="0">'Central de Monitoreo de Temp'!$A$1:$N$126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58" i="4" l="1" a="1"/>
  <c r="N58" i="4" s="1"/>
  <c r="N100" i="4" a="1"/>
  <c r="N100" i="4" s="1"/>
  <c r="A2" i="5" l="1"/>
  <c r="B2" i="5" s="1"/>
  <c r="N124" i="4" a="1"/>
  <c r="N124" i="4" s="1"/>
  <c r="L124" i="4"/>
  <c r="K124" i="4"/>
  <c r="M124" i="4" s="1"/>
  <c r="J124" i="4"/>
  <c r="N121" i="4" a="1"/>
  <c r="N121" i="4" s="1"/>
  <c r="L121" i="4"/>
  <c r="K121" i="4"/>
  <c r="J121" i="4"/>
  <c r="N118" i="4" a="1"/>
  <c r="N118" i="4" s="1"/>
  <c r="L118" i="4"/>
  <c r="K118" i="4"/>
  <c r="M118" i="4" s="1"/>
  <c r="J118" i="4"/>
  <c r="N115" i="4" a="1"/>
  <c r="N115" i="4" s="1"/>
  <c r="L115" i="4"/>
  <c r="K115" i="4"/>
  <c r="J115" i="4"/>
  <c r="N112" i="4" a="1"/>
  <c r="N112" i="4" s="1"/>
  <c r="L112" i="4"/>
  <c r="K112" i="4"/>
  <c r="M112" i="4" s="1"/>
  <c r="J112" i="4"/>
  <c r="N109" i="4" a="1"/>
  <c r="N109" i="4" s="1"/>
  <c r="L109" i="4"/>
  <c r="K109" i="4"/>
  <c r="J109" i="4"/>
  <c r="N106" i="4" a="1"/>
  <c r="N106" i="4" s="1"/>
  <c r="L106" i="4"/>
  <c r="K106" i="4"/>
  <c r="M106" i="4" s="1"/>
  <c r="J106" i="4"/>
  <c r="N103" i="4" a="1"/>
  <c r="N103" i="4" s="1"/>
  <c r="L103" i="4"/>
  <c r="K103" i="4"/>
  <c r="J103" i="4"/>
  <c r="L100" i="4"/>
  <c r="K100" i="4"/>
  <c r="M100" i="4" s="1"/>
  <c r="J100" i="4"/>
  <c r="N97" i="4" a="1"/>
  <c r="N97" i="4" s="1"/>
  <c r="L97" i="4"/>
  <c r="K97" i="4"/>
  <c r="J97" i="4"/>
  <c r="N94" i="4" a="1"/>
  <c r="N94" i="4" s="1"/>
  <c r="L94" i="4"/>
  <c r="K94" i="4"/>
  <c r="M94" i="4" s="1"/>
  <c r="J94" i="4"/>
  <c r="N91" i="4" a="1"/>
  <c r="N91" i="4" s="1"/>
  <c r="L91" i="4"/>
  <c r="K91" i="4"/>
  <c r="J91" i="4"/>
  <c r="N88" i="4" a="1"/>
  <c r="N88" i="4" s="1"/>
  <c r="L88" i="4"/>
  <c r="K88" i="4"/>
  <c r="J88" i="4"/>
  <c r="N85" i="4" a="1"/>
  <c r="N85" i="4" s="1"/>
  <c r="L85" i="4"/>
  <c r="K85" i="4"/>
  <c r="J85" i="4"/>
  <c r="N82" i="4" a="1"/>
  <c r="N82" i="4" s="1"/>
  <c r="L82" i="4"/>
  <c r="K82" i="4"/>
  <c r="M82" i="4" s="1"/>
  <c r="J82" i="4"/>
  <c r="N79" i="4" a="1"/>
  <c r="N79" i="4" s="1"/>
  <c r="L79" i="4"/>
  <c r="K79" i="4"/>
  <c r="J79" i="4"/>
  <c r="N76" i="4" a="1"/>
  <c r="N76" i="4" s="1"/>
  <c r="L76" i="4"/>
  <c r="K76" i="4"/>
  <c r="M76" i="4" s="1"/>
  <c r="J76" i="4"/>
  <c r="N73" i="4" a="1"/>
  <c r="N73" i="4" s="1"/>
  <c r="L73" i="4"/>
  <c r="K73" i="4"/>
  <c r="J73" i="4"/>
  <c r="N70" i="4" a="1"/>
  <c r="N70" i="4" s="1"/>
  <c r="L70" i="4"/>
  <c r="K70" i="4"/>
  <c r="M70" i="4" s="1"/>
  <c r="J70" i="4"/>
  <c r="N67" i="4" a="1"/>
  <c r="N67" i="4" s="1"/>
  <c r="L67" i="4"/>
  <c r="K67" i="4"/>
  <c r="J67" i="4"/>
  <c r="N64" i="4" a="1"/>
  <c r="N64" i="4" s="1"/>
  <c r="L64" i="4"/>
  <c r="K64" i="4"/>
  <c r="M64" i="4" s="1"/>
  <c r="J64" i="4"/>
  <c r="N61" i="4" a="1"/>
  <c r="N61" i="4" s="1"/>
  <c r="L61" i="4"/>
  <c r="K61" i="4"/>
  <c r="J61" i="4"/>
  <c r="L58" i="4"/>
  <c r="K58" i="4"/>
  <c r="M58" i="4" s="1"/>
  <c r="J58" i="4"/>
  <c r="N55" i="4" a="1"/>
  <c r="N55" i="4" s="1"/>
  <c r="L55" i="4"/>
  <c r="K55" i="4"/>
  <c r="J55" i="4"/>
  <c r="N52" i="4" a="1"/>
  <c r="N52" i="4" s="1"/>
  <c r="L52" i="4"/>
  <c r="K52" i="4"/>
  <c r="M52" i="4" s="1"/>
  <c r="J52" i="4"/>
  <c r="N49" i="4" a="1"/>
  <c r="N49" i="4" s="1"/>
  <c r="L49" i="4"/>
  <c r="K49" i="4"/>
  <c r="J49" i="4"/>
  <c r="I47" i="4"/>
  <c r="J46" i="4" s="1"/>
  <c r="K46" i="4"/>
  <c r="N43" i="4" a="1"/>
  <c r="N43" i="4" s="1"/>
  <c r="L43" i="4"/>
  <c r="M43" i="4" s="1"/>
  <c r="K43" i="4"/>
  <c r="J43" i="4"/>
  <c r="L46" i="4" l="1"/>
  <c r="M46" i="4" s="1"/>
  <c r="M103" i="4"/>
  <c r="M109" i="4"/>
  <c r="M115" i="4"/>
  <c r="M121" i="4"/>
  <c r="N46" i="4" a="1"/>
  <c r="N46" i="4" s="1"/>
  <c r="M73" i="4"/>
  <c r="M97" i="4"/>
  <c r="M49" i="4"/>
  <c r="M67" i="4"/>
  <c r="M61" i="4"/>
  <c r="M55" i="4"/>
  <c r="M88" i="4"/>
  <c r="M79" i="4"/>
  <c r="M91" i="4"/>
  <c r="M85" i="4"/>
</calcChain>
</file>

<file path=xl/sharedStrings.xml><?xml version="1.0" encoding="utf-8"?>
<sst xmlns="http://schemas.openxmlformats.org/spreadsheetml/2006/main" count="201" uniqueCount="123">
  <si>
    <t>MANTENIMIENTO PREVENTIVO MONDIS</t>
  </si>
  <si>
    <t>IC-CTE-F421</t>
  </si>
  <si>
    <t>Versión:</t>
  </si>
  <si>
    <t>Vigencia</t>
  </si>
  <si>
    <t>Edificio:</t>
  </si>
  <si>
    <t>Sector:</t>
  </si>
  <si>
    <t>N° serie:  VARIOS</t>
  </si>
  <si>
    <t>Ubicación:</t>
  </si>
  <si>
    <t>Fecha:</t>
  </si>
  <si>
    <t>Orden M:</t>
  </si>
  <si>
    <t>Realizó:</t>
  </si>
  <si>
    <t>Instrumental utilizado</t>
  </si>
  <si>
    <t>Marca</t>
  </si>
  <si>
    <t>Modelo</t>
  </si>
  <si>
    <t>N° de serie</t>
  </si>
  <si>
    <t>Fecha Ult. Calibración</t>
  </si>
  <si>
    <t>Termómetro</t>
  </si>
  <si>
    <t>Madgetech</t>
  </si>
  <si>
    <t>OctTemp2000</t>
  </si>
  <si>
    <t>P93230</t>
  </si>
  <si>
    <t>Estado de valoración (marcar con X lo que corresponda)</t>
  </si>
  <si>
    <t>Inspección superada, el equipo es apto para el uso</t>
  </si>
  <si>
    <t>P</t>
  </si>
  <si>
    <t>El equipo ha necesitado reparación</t>
  </si>
  <si>
    <t>NA</t>
  </si>
  <si>
    <t>El equipo no está reparado. No se puede usar</t>
  </si>
  <si>
    <t>Comentarios:</t>
  </si>
  <si>
    <t>Puntos de inspección</t>
  </si>
  <si>
    <t>8.1</t>
  </si>
  <si>
    <t xml:space="preserve">Test de Inspección y Funcionalidad </t>
  </si>
  <si>
    <t>Marcar P (Pasó) o F (Falló) según corresponda</t>
  </si>
  <si>
    <t>8.1.1</t>
  </si>
  <si>
    <t>Sensores</t>
  </si>
  <si>
    <t>8.1.2</t>
  </si>
  <si>
    <t>Ubicación de los sensores</t>
  </si>
  <si>
    <t>8.1.3</t>
  </si>
  <si>
    <t>Vainas de sensores</t>
  </si>
  <si>
    <t>8.1.4</t>
  </si>
  <si>
    <t>Cables UTP</t>
  </si>
  <si>
    <t>8.1.5</t>
  </si>
  <si>
    <t>Interfaces LAN</t>
  </si>
  <si>
    <t>8.1.6</t>
  </si>
  <si>
    <t>Fuentes de alimentación</t>
  </si>
  <si>
    <t>Sensor Mondis</t>
  </si>
  <si>
    <t>Freezer 4</t>
  </si>
  <si>
    <t>Freezer 1</t>
  </si>
  <si>
    <t>Freezer 3</t>
  </si>
  <si>
    <t>Freezer 5</t>
  </si>
  <si>
    <t>Freezer 6</t>
  </si>
  <si>
    <t>Freezer 7</t>
  </si>
  <si>
    <t>Heladera 1</t>
  </si>
  <si>
    <t>Heladera 3</t>
  </si>
  <si>
    <t>Heladera 4</t>
  </si>
  <si>
    <t>Catamarca 1242</t>
  </si>
  <si>
    <t>°C</t>
  </si>
  <si>
    <t>Incertidumbre combinada expandida (Uc)</t>
  </si>
  <si>
    <t>Error sistemático (ES)</t>
  </si>
  <si>
    <t>Error total en la medida del termómetro a calibrar (ETtx)</t>
  </si>
  <si>
    <t>8.2.1</t>
  </si>
  <si>
    <t>Características del termómetro patrón</t>
  </si>
  <si>
    <t>Resolución (rp)</t>
  </si>
  <si>
    <t>8.2.2</t>
  </si>
  <si>
    <t>Características del termómetro a calibrar</t>
  </si>
  <si>
    <t>Resolución (rx)</t>
  </si>
  <si>
    <t>Sensor</t>
  </si>
  <si>
    <t>Patron</t>
  </si>
  <si>
    <t>Paso o fallo</t>
  </si>
  <si>
    <t>Ubicación Sensor</t>
  </si>
  <si>
    <t>Modelo: Mondis</t>
  </si>
  <si>
    <t xml:space="preserve">Marca:    DSNTEC                </t>
  </si>
  <si>
    <t>Heladera 2</t>
  </si>
  <si>
    <t>Freezer 2</t>
  </si>
  <si>
    <t>Henry Salinas</t>
  </si>
  <si>
    <t>Error permitido</t>
  </si>
  <si>
    <t>Error pèrmitido</t>
  </si>
  <si>
    <t>Incertidumbre de calibración (Up) (Hasta -70°C)</t>
  </si>
  <si>
    <t>Incertidumbre de calibración (Up) (-20.10°C)</t>
  </si>
  <si>
    <t>Incertidumbre de calibración (Up) (29°C)</t>
  </si>
  <si>
    <t>8C000005B3B69428</t>
  </si>
  <si>
    <t>A9000005683C5728</t>
  </si>
  <si>
    <t>30000005632D2828</t>
  </si>
  <si>
    <t>0D0000075F4A1F28</t>
  </si>
  <si>
    <t>BC000005B4261128</t>
  </si>
  <si>
    <t>680000056852A728</t>
  </si>
  <si>
    <t>7600000C7C702628</t>
  </si>
  <si>
    <t>0200000C79453D28</t>
  </si>
  <si>
    <t>1C00000C79DE9A28</t>
  </si>
  <si>
    <t>BF00080276274010</t>
  </si>
  <si>
    <t>Estufa 27500</t>
  </si>
  <si>
    <t>Ambiente</t>
  </si>
  <si>
    <t>7900000567979E28</t>
  </si>
  <si>
    <t>1400000567D05328</t>
  </si>
  <si>
    <t>F100000567B8FA28</t>
  </si>
  <si>
    <t>61000005A054B228</t>
  </si>
  <si>
    <t>3700000568630A28</t>
  </si>
  <si>
    <t>Heladera 5</t>
  </si>
  <si>
    <t>7500000568F5B828</t>
  </si>
  <si>
    <t>C500000568BF4128</t>
  </si>
  <si>
    <t>DC000007605B1928</t>
  </si>
  <si>
    <t>Piso 2</t>
  </si>
  <si>
    <t>Piso 1</t>
  </si>
  <si>
    <t>310001000033AA7E</t>
  </si>
  <si>
    <t>Ambiente Humedad</t>
  </si>
  <si>
    <t>D500080250F4D610</t>
  </si>
  <si>
    <t>Ambiente 2C</t>
  </si>
  <si>
    <t>7400000C7BB85628</t>
  </si>
  <si>
    <t>3A00000567D00328</t>
  </si>
  <si>
    <t>2F00080251061C10</t>
  </si>
  <si>
    <t>4F000005A0109028</t>
  </si>
  <si>
    <t>EE001000002E617E</t>
  </si>
  <si>
    <t>740000056723BB28</t>
  </si>
  <si>
    <t>520000075F7FD628</t>
  </si>
  <si>
    <t>Piso 3</t>
  </si>
  <si>
    <t>CrioFreezer 4</t>
  </si>
  <si>
    <t>2900010000337E7E</t>
  </si>
  <si>
    <t xml:space="preserve">Equipo: CEN-MON-LABCAT
</t>
  </si>
  <si>
    <t>Catamarca 1242 - 01 - 02 - 03</t>
  </si>
  <si>
    <t>Correccion</t>
  </si>
  <si>
    <t>.23.5</t>
  </si>
  <si>
    <t>Laboratorio</t>
  </si>
  <si>
    <t xml:space="preserve">Baño term. 26353 </t>
  </si>
  <si>
    <t xml:space="preserve">OBSERVACIONES </t>
  </si>
  <si>
    <t>*13.1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</si>
</sst>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sz val="8"/>
      <name val="Arial"/>
      <family val="2"/>
    </font>
    <font>
      <sz val="14"/>
      <name val="Arial"/>
      <family val="2"/>
    </font>
    <font>
      <b/>
      <sz val="12"/>
      <name val="Arial"/>
      <family val="2"/>
    </font>
    <font>
      <b/>
      <sz val="10"/>
      <name val="Arial"/>
      <family val="2"/>
    </font>
    <font>
      <b/>
      <sz val="10"/>
      <color indexed="62"/>
      <name val="Arial"/>
      <family val="2"/>
    </font>
    <font>
      <sz val="10"/>
      <color indexed="62"/>
      <name val="Arial"/>
      <family val="2"/>
    </font>
    <font>
      <sz val="10"/>
      <name val="Arial"/>
      <family val="2"/>
    </font>
    <font>
      <b/>
      <sz val="11"/>
      <name val="Arial"/>
      <family val="2"/>
    </font>
    <font>
      <sz val="11"/>
      <name val="Arial"/>
      <family val="2"/>
    </font>
    <font>
      <b/>
      <sz val="9"/>
      <name val="Arial"/>
      <family val="2"/>
    </font>
    <font>
      <sz val="10"/>
      <color theme="1"/>
      <name val="Arial"/>
      <family val="2"/>
    </font>
    <font>
      <sz val="10"/>
      <color rgb="FFFF0000"/>
      <name val="Arial"/>
      <family val="2"/>
    </font>
  </fonts>
  <fills count="8">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43"/>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s>
  <borders count="67">
    <border>
      <left/>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diagonalUp="1">
      <left style="medium">
        <color indexed="64"/>
      </left>
      <right style="medium">
        <color indexed="64"/>
      </right>
      <top style="medium">
        <color indexed="64"/>
      </top>
      <bottom style="medium">
        <color indexed="64"/>
      </bottom>
      <diagonal style="dashed">
        <color indexed="64"/>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style="medium">
        <color indexed="64"/>
      </bottom>
      <diagonal/>
    </border>
    <border diagonalUp="1">
      <left style="medium">
        <color indexed="64"/>
      </left>
      <right style="medium">
        <color indexed="64"/>
      </right>
      <top style="medium">
        <color indexed="64"/>
      </top>
      <bottom/>
      <diagonal style="dashed">
        <color indexed="64"/>
      </diagonal>
    </border>
    <border diagonalUp="1">
      <left style="medium">
        <color indexed="64"/>
      </left>
      <right style="medium">
        <color indexed="64"/>
      </right>
      <top/>
      <bottom style="medium">
        <color indexed="64"/>
      </bottom>
      <diagonal style="dashed">
        <color indexed="64"/>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diagonalUp="1">
      <left style="medium">
        <color indexed="64"/>
      </left>
      <right/>
      <top style="medium">
        <color indexed="64"/>
      </top>
      <bottom style="thin">
        <color indexed="64"/>
      </bottom>
      <diagonal style="dashed">
        <color indexed="64"/>
      </diagonal>
    </border>
    <border diagonalUp="1">
      <left style="medium">
        <color indexed="64"/>
      </left>
      <right style="medium">
        <color indexed="64"/>
      </right>
      <top style="medium">
        <color indexed="64"/>
      </top>
      <bottom style="thin">
        <color indexed="64"/>
      </bottom>
      <diagonal style="dashed">
        <color indexed="64"/>
      </diagonal>
    </border>
    <border>
      <left style="medium">
        <color indexed="64"/>
      </left>
      <right style="thin">
        <color indexed="64"/>
      </right>
      <top/>
      <bottom style="medium">
        <color indexed="64"/>
      </bottom>
      <diagonal/>
    </border>
  </borders>
  <cellStyleXfs count="1">
    <xf numFmtId="0" fontId="0" fillId="0" borderId="0"/>
  </cellStyleXfs>
  <cellXfs count="299">
    <xf numFmtId="0" fontId="0" fillId="0" borderId="0" xfId="0"/>
    <xf numFmtId="0" fontId="7" fillId="0" borderId="2" xfId="0" applyFont="1" applyBorder="1" applyAlignment="1" applyProtection="1">
      <alignment horizontal="center"/>
      <protection locked="0"/>
    </xf>
    <xf numFmtId="0" fontId="7" fillId="0" borderId="6" xfId="0" applyFont="1" applyBorder="1" applyAlignment="1" applyProtection="1">
      <alignment horizontal="center"/>
      <protection locked="0"/>
    </xf>
    <xf numFmtId="0" fontId="7" fillId="0" borderId="7" xfId="0" applyFont="1" applyBorder="1" applyAlignment="1" applyProtection="1">
      <alignment horizontal="center"/>
      <protection locked="0"/>
    </xf>
    <xf numFmtId="0" fontId="7" fillId="0" borderId="8" xfId="0" applyFont="1" applyBorder="1" applyAlignment="1" applyProtection="1">
      <alignment horizontal="center"/>
      <protection locked="0"/>
    </xf>
    <xf numFmtId="0" fontId="4" fillId="0" borderId="13" xfId="0" applyFont="1" applyBorder="1" applyAlignment="1" applyProtection="1">
      <alignment wrapText="1"/>
      <protection locked="0"/>
    </xf>
    <xf numFmtId="0" fontId="4" fillId="3" borderId="16" xfId="0" applyFont="1" applyFill="1" applyBorder="1" applyAlignment="1" applyProtection="1">
      <alignment horizontal="center" wrapText="1"/>
      <protection locked="0"/>
    </xf>
    <xf numFmtId="0" fontId="4" fillId="3" borderId="16" xfId="0" applyFont="1" applyFill="1" applyBorder="1" applyAlignment="1" applyProtection="1">
      <alignment horizontal="center"/>
      <protection locked="0"/>
    </xf>
    <xf numFmtId="0" fontId="3" fillId="0" borderId="18" xfId="0" applyFont="1" applyBorder="1" applyAlignment="1" applyProtection="1">
      <alignment horizontal="left" wrapText="1"/>
      <protection locked="0"/>
    </xf>
    <xf numFmtId="0" fontId="6" fillId="2" borderId="21" xfId="0" applyFont="1" applyFill="1" applyBorder="1" applyAlignment="1" applyProtection="1">
      <alignment horizontal="center"/>
      <protection locked="0"/>
    </xf>
    <xf numFmtId="0" fontId="6" fillId="2" borderId="21" xfId="0" applyFont="1" applyFill="1" applyBorder="1" applyProtection="1">
      <protection locked="0"/>
    </xf>
    <xf numFmtId="0" fontId="7" fillId="2" borderId="22" xfId="0" applyFont="1" applyFill="1" applyBorder="1" applyAlignment="1" applyProtection="1">
      <alignment horizontal="center"/>
      <protection locked="0"/>
    </xf>
    <xf numFmtId="0" fontId="7" fillId="2" borderId="31" xfId="0" applyFont="1" applyFill="1" applyBorder="1" applyAlignment="1" applyProtection="1">
      <alignment horizontal="center"/>
      <protection locked="0"/>
    </xf>
    <xf numFmtId="0" fontId="7" fillId="0" borderId="43" xfId="0" applyFont="1" applyBorder="1" applyAlignment="1" applyProtection="1">
      <alignment horizontal="center"/>
      <protection locked="0"/>
    </xf>
    <xf numFmtId="0" fontId="4" fillId="3" borderId="20" xfId="0" applyFont="1" applyFill="1" applyBorder="1" applyAlignment="1" applyProtection="1">
      <alignment horizontal="center" wrapText="1"/>
      <protection locked="0"/>
    </xf>
    <xf numFmtId="0" fontId="4" fillId="3" borderId="29" xfId="0" applyFont="1" applyFill="1" applyBorder="1" applyAlignment="1" applyProtection="1">
      <alignment horizontal="center"/>
      <protection locked="0"/>
    </xf>
    <xf numFmtId="0" fontId="7" fillId="0" borderId="3" xfId="0" applyFont="1" applyBorder="1" applyAlignment="1" applyProtection="1">
      <alignment horizontal="center"/>
      <protection locked="0"/>
    </xf>
    <xf numFmtId="0" fontId="7" fillId="0" borderId="19" xfId="0" applyFont="1" applyBorder="1" applyAlignment="1" applyProtection="1">
      <alignment horizontal="center"/>
      <protection locked="0"/>
    </xf>
    <xf numFmtId="0" fontId="0" fillId="0" borderId="3" xfId="0" applyBorder="1"/>
    <xf numFmtId="0" fontId="7" fillId="2" borderId="25" xfId="0" applyFont="1" applyFill="1" applyBorder="1" applyAlignment="1" applyProtection="1">
      <alignment horizontal="center"/>
      <protection locked="0"/>
    </xf>
    <xf numFmtId="0" fontId="7" fillId="2" borderId="14" xfId="0" applyFont="1" applyFill="1" applyBorder="1" applyAlignment="1" applyProtection="1">
      <alignment horizontal="center"/>
      <protection locked="0"/>
    </xf>
    <xf numFmtId="0" fontId="11" fillId="5" borderId="3" xfId="0" applyFont="1" applyFill="1" applyBorder="1" applyAlignment="1" applyProtection="1">
      <alignment horizontal="center" vertical="center" wrapText="1"/>
      <protection locked="0"/>
    </xf>
    <xf numFmtId="0" fontId="11" fillId="5" borderId="19" xfId="0" applyFont="1" applyFill="1" applyBorder="1" applyAlignment="1" applyProtection="1">
      <alignment horizontal="center" vertical="center" wrapText="1"/>
      <protection locked="0"/>
    </xf>
    <xf numFmtId="0" fontId="0" fillId="2" borderId="13" xfId="0" applyFill="1" applyBorder="1" applyAlignment="1" applyProtection="1">
      <alignment horizontal="center"/>
      <protection locked="0"/>
    </xf>
    <xf numFmtId="0" fontId="0" fillId="0" borderId="31"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8" xfId="0" applyBorder="1" applyAlignment="1" applyProtection="1">
      <alignment horizontal="center"/>
      <protection locked="0"/>
    </xf>
    <xf numFmtId="0" fontId="0" fillId="0" borderId="2" xfId="0" applyBorder="1" applyAlignment="1" applyProtection="1">
      <alignment horizontal="center"/>
      <protection locked="0"/>
    </xf>
    <xf numFmtId="0" fontId="0" fillId="0" borderId="1" xfId="0" applyBorder="1" applyAlignment="1" applyProtection="1">
      <alignment horizontal="center"/>
      <protection locked="0"/>
    </xf>
    <xf numFmtId="0" fontId="0" fillId="0" borderId="50" xfId="0" applyBorder="1" applyAlignment="1" applyProtection="1">
      <alignment horizontal="center"/>
      <protection locked="0"/>
    </xf>
    <xf numFmtId="0" fontId="0" fillId="0" borderId="52" xfId="0" applyBorder="1" applyAlignment="1" applyProtection="1">
      <alignment horizontal="center"/>
      <protection locked="0"/>
    </xf>
    <xf numFmtId="0" fontId="0" fillId="0" borderId="53" xfId="0" applyBorder="1" applyAlignment="1" applyProtection="1">
      <alignment horizontal="center"/>
      <protection locked="0"/>
    </xf>
    <xf numFmtId="0" fontId="0" fillId="0" borderId="11" xfId="0" applyBorder="1" applyAlignment="1" applyProtection="1">
      <alignment horizontal="center"/>
      <protection locked="0"/>
    </xf>
    <xf numFmtId="0" fontId="10" fillId="4" borderId="19" xfId="0" applyFont="1" applyFill="1" applyBorder="1" applyAlignment="1" applyProtection="1">
      <alignment vertical="center" wrapText="1"/>
      <protection locked="0"/>
    </xf>
    <xf numFmtId="0" fontId="7" fillId="7" borderId="0" xfId="0" applyFont="1" applyFill="1" applyBorder="1" applyAlignment="1" applyProtection="1">
      <alignment wrapText="1"/>
      <protection locked="0"/>
    </xf>
    <xf numFmtId="0" fontId="7" fillId="7" borderId="11" xfId="0" applyFont="1" applyFill="1" applyBorder="1" applyAlignment="1" applyProtection="1">
      <alignment wrapText="1"/>
      <protection locked="0"/>
    </xf>
    <xf numFmtId="0" fontId="7" fillId="7" borderId="12" xfId="0" applyFont="1" applyFill="1" applyBorder="1" applyAlignment="1" applyProtection="1">
      <alignment wrapText="1"/>
      <protection locked="0"/>
    </xf>
    <xf numFmtId="0" fontId="7" fillId="7" borderId="35" xfId="0" applyFont="1" applyFill="1" applyBorder="1" applyAlignment="1" applyProtection="1">
      <alignment wrapText="1"/>
      <protection locked="0"/>
    </xf>
    <xf numFmtId="0" fontId="7" fillId="7" borderId="36" xfId="0" applyFont="1" applyFill="1" applyBorder="1" applyAlignment="1" applyProtection="1">
      <alignment wrapText="1"/>
      <protection locked="0"/>
    </xf>
    <xf numFmtId="0" fontId="7" fillId="7" borderId="37" xfId="0" applyFont="1" applyFill="1" applyBorder="1" applyAlignment="1" applyProtection="1">
      <alignment wrapText="1"/>
      <protection locked="0"/>
    </xf>
    <xf numFmtId="0" fontId="4" fillId="0" borderId="45" xfId="0" applyFont="1" applyBorder="1" applyAlignment="1" applyProtection="1">
      <alignment wrapText="1"/>
      <protection locked="0"/>
    </xf>
    <xf numFmtId="17" fontId="3" fillId="0" borderId="46" xfId="0" applyNumberFormat="1" applyFont="1" applyBorder="1" applyAlignment="1" applyProtection="1">
      <alignment horizontal="left" wrapText="1"/>
      <protection locked="0"/>
    </xf>
    <xf numFmtId="0" fontId="7" fillId="7" borderId="9" xfId="0" applyFont="1" applyFill="1" applyBorder="1" applyAlignment="1" applyProtection="1">
      <alignment wrapText="1"/>
      <protection locked="0"/>
    </xf>
    <xf numFmtId="0" fontId="7" fillId="7" borderId="39" xfId="0" applyFont="1" applyFill="1" applyBorder="1" applyAlignment="1" applyProtection="1">
      <alignment wrapText="1"/>
      <protection locked="0"/>
    </xf>
    <xf numFmtId="0" fontId="7" fillId="7" borderId="10" xfId="0" applyFont="1" applyFill="1" applyBorder="1" applyAlignment="1" applyProtection="1">
      <alignment wrapText="1"/>
      <protection locked="0"/>
    </xf>
    <xf numFmtId="0" fontId="4" fillId="6" borderId="26" xfId="0" applyFont="1" applyFill="1" applyBorder="1" applyAlignment="1">
      <alignment horizontal="center" vertical="center"/>
    </xf>
    <xf numFmtId="0" fontId="4" fillId="6" borderId="49" xfId="0" applyFont="1" applyFill="1" applyBorder="1" applyAlignment="1">
      <alignment horizontal="center" vertical="center" wrapText="1"/>
    </xf>
    <xf numFmtId="0" fontId="4" fillId="6" borderId="27" xfId="0" applyFont="1" applyFill="1" applyBorder="1" applyAlignment="1">
      <alignment horizontal="center" vertical="center" wrapText="1"/>
    </xf>
    <xf numFmtId="0" fontId="0" fillId="6" borderId="12" xfId="0" applyFill="1" applyBorder="1" applyProtection="1">
      <protection locked="0"/>
    </xf>
    <xf numFmtId="0" fontId="0" fillId="6" borderId="37" xfId="0" applyFill="1" applyBorder="1" applyProtection="1">
      <protection locked="0"/>
    </xf>
    <xf numFmtId="0" fontId="0" fillId="6" borderId="0" xfId="0" applyFill="1" applyBorder="1" applyProtection="1">
      <protection locked="0"/>
    </xf>
    <xf numFmtId="0" fontId="0" fillId="6" borderId="36" xfId="0" applyFill="1" applyBorder="1" applyProtection="1">
      <protection locked="0"/>
    </xf>
    <xf numFmtId="0" fontId="7" fillId="0" borderId="34" xfId="0" applyFont="1" applyBorder="1" applyAlignment="1" applyProtection="1">
      <alignment horizontal="center"/>
      <protection locked="0"/>
    </xf>
    <xf numFmtId="0" fontId="7" fillId="2" borderId="28" xfId="0" applyFont="1" applyFill="1" applyBorder="1" applyAlignment="1" applyProtection="1">
      <alignment horizontal="center"/>
      <protection locked="0"/>
    </xf>
    <xf numFmtId="0" fontId="0" fillId="6" borderId="64" xfId="0" applyFill="1" applyBorder="1" applyProtection="1">
      <protection locked="0"/>
    </xf>
    <xf numFmtId="0" fontId="7" fillId="0" borderId="28" xfId="0" applyFont="1" applyBorder="1" applyAlignment="1" applyProtection="1">
      <alignment horizontal="center"/>
      <protection locked="0"/>
    </xf>
    <xf numFmtId="0" fontId="7" fillId="0" borderId="23" xfId="0" applyFont="1" applyBorder="1" applyAlignment="1" applyProtection="1">
      <alignment horizontal="center"/>
      <protection locked="0"/>
    </xf>
    <xf numFmtId="0" fontId="0" fillId="6" borderId="65" xfId="0" applyFill="1" applyBorder="1" applyProtection="1">
      <protection locked="0"/>
    </xf>
    <xf numFmtId="0" fontId="7" fillId="0" borderId="1" xfId="0" applyFont="1" applyBorder="1" applyAlignment="1" applyProtection="1">
      <alignment horizontal="center"/>
      <protection locked="0"/>
    </xf>
    <xf numFmtId="0" fontId="0" fillId="0" borderId="2" xfId="0" applyBorder="1"/>
    <xf numFmtId="0" fontId="0" fillId="0" borderId="1" xfId="0" applyBorder="1"/>
    <xf numFmtId="0" fontId="7" fillId="0" borderId="35" xfId="0" applyFont="1" applyBorder="1" applyAlignment="1" applyProtection="1">
      <alignment horizontal="center"/>
      <protection locked="0"/>
    </xf>
    <xf numFmtId="0" fontId="0" fillId="0" borderId="0" xfId="0" applyBorder="1"/>
    <xf numFmtId="0" fontId="7" fillId="0" borderId="49" xfId="0" applyFont="1" applyBorder="1" applyAlignment="1" applyProtection="1">
      <alignment horizontal="center"/>
      <protection locked="0"/>
    </xf>
    <xf numFmtId="0" fontId="4" fillId="6" borderId="38" xfId="0" applyFont="1" applyFill="1" applyBorder="1" applyAlignment="1">
      <alignment horizontal="center"/>
    </xf>
    <xf numFmtId="0" fontId="4" fillId="3" borderId="32" xfId="0" applyFont="1" applyFill="1" applyBorder="1" applyAlignment="1" applyProtection="1">
      <alignment horizontal="center" wrapText="1"/>
      <protection locked="0"/>
    </xf>
    <xf numFmtId="0" fontId="0" fillId="0" borderId="40" xfId="0" applyBorder="1" applyAlignment="1" applyProtection="1">
      <alignment horizontal="center"/>
      <protection locked="0"/>
    </xf>
    <xf numFmtId="0" fontId="0" fillId="0" borderId="50" xfId="0" applyFill="1" applyBorder="1" applyAlignment="1" applyProtection="1">
      <alignment horizontal="center"/>
      <protection locked="0"/>
    </xf>
    <xf numFmtId="0" fontId="0" fillId="0" borderId="2" xfId="0" applyFill="1" applyBorder="1" applyAlignment="1" applyProtection="1">
      <alignment horizontal="center"/>
      <protection locked="0"/>
    </xf>
    <xf numFmtId="0" fontId="0" fillId="0" borderId="1" xfId="0" applyFill="1" applyBorder="1" applyAlignment="1" applyProtection="1">
      <alignment horizontal="center"/>
      <protection locked="0"/>
    </xf>
    <xf numFmtId="0" fontId="12" fillId="2" borderId="13" xfId="0" applyFont="1" applyFill="1" applyBorder="1" applyAlignment="1" applyProtection="1">
      <alignment horizontal="center"/>
      <protection locked="0"/>
    </xf>
    <xf numFmtId="0" fontId="12" fillId="2" borderId="25" xfId="0" applyFont="1" applyFill="1" applyBorder="1" applyAlignment="1" applyProtection="1">
      <alignment horizontal="center"/>
      <protection locked="0"/>
    </xf>
    <xf numFmtId="0" fontId="12" fillId="2" borderId="14" xfId="0" applyFont="1" applyFill="1" applyBorder="1" applyAlignment="1" applyProtection="1">
      <alignment horizontal="center"/>
      <protection locked="0"/>
    </xf>
    <xf numFmtId="0" fontId="12" fillId="2" borderId="48" xfId="0" applyFont="1" applyFill="1" applyBorder="1" applyAlignment="1" applyProtection="1">
      <alignment horizontal="center"/>
      <protection locked="0"/>
    </xf>
    <xf numFmtId="0" fontId="0" fillId="0" borderId="56" xfId="0" applyBorder="1"/>
    <xf numFmtId="0" fontId="0" fillId="0" borderId="56" xfId="0" applyBorder="1" applyAlignment="1" applyProtection="1">
      <alignment horizontal="center"/>
      <protection locked="0"/>
    </xf>
    <xf numFmtId="0" fontId="7" fillId="0" borderId="22" xfId="0" applyFont="1" applyBorder="1" applyAlignment="1" applyProtection="1">
      <alignment horizontal="center"/>
      <protection locked="0"/>
    </xf>
    <xf numFmtId="0" fontId="12" fillId="2" borderId="25" xfId="0" applyFont="1" applyFill="1" applyBorder="1" applyAlignment="1" applyProtection="1">
      <alignment horizontal="center" wrapText="1"/>
      <protection locked="0"/>
    </xf>
    <xf numFmtId="0" fontId="0" fillId="0" borderId="53" xfId="0" applyBorder="1" applyAlignment="1">
      <alignment horizontal="center"/>
    </xf>
    <xf numFmtId="0" fontId="0" fillId="0" borderId="40"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0" fillId="0" borderId="35" xfId="0" applyBorder="1" applyAlignment="1">
      <alignment horizontal="center"/>
    </xf>
    <xf numFmtId="0" fontId="0" fillId="0" borderId="38" xfId="0" applyBorder="1" applyAlignment="1">
      <alignment horizontal="center"/>
    </xf>
    <xf numFmtId="0" fontId="0" fillId="0" borderId="38" xfId="0" applyBorder="1" applyAlignment="1">
      <alignment horizontal="center" vertical="center"/>
    </xf>
    <xf numFmtId="0" fontId="0" fillId="0" borderId="53" xfId="0" applyBorder="1" applyAlignment="1">
      <alignment horizontal="center" vertical="center"/>
    </xf>
    <xf numFmtId="0" fontId="0" fillId="0" borderId="40" xfId="0" applyBorder="1" applyAlignment="1">
      <alignment horizontal="center" vertical="center"/>
    </xf>
    <xf numFmtId="49" fontId="12" fillId="0" borderId="55" xfId="0" applyNumberFormat="1" applyFont="1" applyBorder="1" applyAlignment="1" applyProtection="1">
      <alignment horizontal="center" vertical="center" wrapText="1"/>
      <protection locked="0"/>
    </xf>
    <xf numFmtId="49" fontId="12" fillId="0" borderId="39" xfId="0" applyNumberFormat="1" applyFont="1" applyBorder="1" applyAlignment="1" applyProtection="1">
      <alignment horizontal="center" vertical="center" wrapText="1"/>
      <protection locked="0"/>
    </xf>
    <xf numFmtId="49" fontId="12" fillId="0" borderId="10" xfId="0" applyNumberFormat="1" applyFont="1" applyBorder="1" applyAlignment="1" applyProtection="1">
      <alignment horizontal="center" vertical="center" wrapText="1"/>
      <protection locked="0"/>
    </xf>
    <xf numFmtId="49" fontId="12" fillId="0" borderId="56" xfId="0" applyNumberFormat="1" applyFont="1" applyBorder="1" applyAlignment="1" applyProtection="1">
      <alignment horizontal="center" vertical="center" wrapText="1"/>
      <protection locked="0"/>
    </xf>
    <xf numFmtId="49" fontId="12" fillId="0" borderId="0" xfId="0" applyNumberFormat="1" applyFont="1" applyBorder="1" applyAlignment="1" applyProtection="1">
      <alignment horizontal="center" vertical="center" wrapText="1"/>
      <protection locked="0"/>
    </xf>
    <xf numFmtId="49" fontId="12" fillId="0" borderId="12" xfId="0" applyNumberFormat="1" applyFont="1" applyBorder="1" applyAlignment="1" applyProtection="1">
      <alignment horizontal="center" vertical="center" wrapText="1"/>
      <protection locked="0"/>
    </xf>
    <xf numFmtId="49" fontId="12" fillId="0" borderId="57" xfId="0" applyNumberFormat="1" applyFont="1" applyBorder="1" applyAlignment="1" applyProtection="1">
      <alignment horizontal="center" vertical="center" wrapText="1"/>
      <protection locked="0"/>
    </xf>
    <xf numFmtId="49" fontId="12" fillId="0" borderId="36" xfId="0" applyNumberFormat="1" applyFont="1" applyBorder="1" applyAlignment="1" applyProtection="1">
      <alignment horizontal="center" vertical="center" wrapText="1"/>
      <protection locked="0"/>
    </xf>
    <xf numFmtId="49" fontId="12" fillId="0" borderId="37" xfId="0" applyNumberFormat="1" applyFont="1" applyBorder="1" applyAlignment="1" applyProtection="1">
      <alignment horizontal="center" vertical="center" wrapText="1"/>
      <protection locked="0"/>
    </xf>
    <xf numFmtId="0" fontId="7" fillId="0" borderId="55" xfId="0" applyFont="1" applyBorder="1" applyAlignment="1" applyProtection="1">
      <alignment horizontal="center" vertical="center"/>
      <protection locked="0"/>
    </xf>
    <xf numFmtId="0" fontId="7" fillId="0" borderId="39" xfId="0" applyFont="1" applyBorder="1" applyAlignment="1" applyProtection="1">
      <alignment horizontal="center" vertical="center"/>
      <protection locked="0"/>
    </xf>
    <xf numFmtId="0" fontId="7" fillId="0" borderId="10" xfId="0" applyFont="1" applyBorder="1" applyAlignment="1" applyProtection="1">
      <alignment horizontal="center" vertical="center"/>
      <protection locked="0"/>
    </xf>
    <xf numFmtId="0" fontId="7" fillId="0" borderId="56" xfId="0" applyFont="1" applyBorder="1" applyAlignment="1" applyProtection="1">
      <alignment horizontal="center" vertical="center"/>
      <protection locked="0"/>
    </xf>
    <xf numFmtId="0" fontId="7" fillId="0" borderId="0" xfId="0" applyFont="1" applyBorder="1" applyAlignment="1" applyProtection="1">
      <alignment horizontal="center" vertical="center"/>
      <protection locked="0"/>
    </xf>
    <xf numFmtId="0" fontId="7" fillId="0" borderId="12" xfId="0" applyFont="1" applyBorder="1" applyAlignment="1" applyProtection="1">
      <alignment horizontal="center" vertical="center"/>
      <protection locked="0"/>
    </xf>
    <xf numFmtId="0" fontId="7" fillId="0" borderId="57" xfId="0" applyFont="1" applyBorder="1" applyAlignment="1" applyProtection="1">
      <alignment horizontal="center" vertical="center"/>
      <protection locked="0"/>
    </xf>
    <xf numFmtId="0" fontId="7" fillId="0" borderId="36" xfId="0" applyFont="1" applyBorder="1" applyAlignment="1" applyProtection="1">
      <alignment horizontal="center" vertical="center"/>
      <protection locked="0"/>
    </xf>
    <xf numFmtId="0" fontId="7" fillId="0" borderId="37" xfId="0" applyFont="1" applyBorder="1" applyAlignment="1" applyProtection="1">
      <alignment horizontal="center" vertical="center"/>
      <protection locked="0"/>
    </xf>
    <xf numFmtId="0" fontId="7" fillId="0" borderId="55" xfId="0" applyFont="1" applyBorder="1" applyAlignment="1" applyProtection="1">
      <alignment horizontal="center" vertical="center" wrapText="1"/>
      <protection locked="0"/>
    </xf>
    <xf numFmtId="0" fontId="7" fillId="0" borderId="39" xfId="0"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7" fillId="0" borderId="56" xfId="0" applyFont="1" applyBorder="1" applyAlignment="1" applyProtection="1">
      <alignment horizontal="center" vertical="center" wrapText="1"/>
      <protection locked="0"/>
    </xf>
    <xf numFmtId="0" fontId="7" fillId="0" borderId="0" xfId="0" applyFont="1" applyBorder="1" applyAlignment="1" applyProtection="1">
      <alignment horizontal="center" vertical="center" wrapText="1"/>
      <protection locked="0"/>
    </xf>
    <xf numFmtId="0" fontId="7" fillId="0" borderId="12" xfId="0" applyFont="1" applyBorder="1" applyAlignment="1" applyProtection="1">
      <alignment horizontal="center" vertical="center" wrapText="1"/>
      <protection locked="0"/>
    </xf>
    <xf numFmtId="0" fontId="7" fillId="0" borderId="57" xfId="0" applyFont="1" applyBorder="1" applyAlignment="1" applyProtection="1">
      <alignment horizontal="center" vertical="center" wrapText="1"/>
      <protection locked="0"/>
    </xf>
    <xf numFmtId="0" fontId="7" fillId="0" borderId="36" xfId="0" applyFont="1" applyBorder="1" applyAlignment="1" applyProtection="1">
      <alignment horizontal="center" vertical="center" wrapText="1"/>
      <protection locked="0"/>
    </xf>
    <xf numFmtId="0" fontId="7" fillId="0" borderId="37" xfId="0" applyFont="1" applyBorder="1" applyAlignment="1" applyProtection="1">
      <alignment horizontal="center" vertical="center" wrapText="1"/>
      <protection locked="0"/>
    </xf>
    <xf numFmtId="1" fontId="7" fillId="0" borderId="55" xfId="0" applyNumberFormat="1" applyFont="1" applyBorder="1" applyAlignment="1" applyProtection="1">
      <alignment horizontal="center" vertical="center" wrapText="1"/>
      <protection locked="0"/>
    </xf>
    <xf numFmtId="1" fontId="7" fillId="0" borderId="39" xfId="0" applyNumberFormat="1" applyFont="1" applyBorder="1" applyAlignment="1" applyProtection="1">
      <alignment horizontal="center" vertical="center" wrapText="1"/>
      <protection locked="0"/>
    </xf>
    <xf numFmtId="1" fontId="7" fillId="0" borderId="10" xfId="0" applyNumberFormat="1" applyFont="1" applyBorder="1" applyAlignment="1" applyProtection="1">
      <alignment horizontal="center" vertical="center" wrapText="1"/>
      <protection locked="0"/>
    </xf>
    <xf numFmtId="1" fontId="7" fillId="0" borderId="56" xfId="0" applyNumberFormat="1" applyFont="1" applyBorder="1" applyAlignment="1" applyProtection="1">
      <alignment horizontal="center" vertical="center" wrapText="1"/>
      <protection locked="0"/>
    </xf>
    <xf numFmtId="1" fontId="7" fillId="0" borderId="0" xfId="0" applyNumberFormat="1" applyFont="1" applyBorder="1" applyAlignment="1" applyProtection="1">
      <alignment horizontal="center" vertical="center" wrapText="1"/>
      <protection locked="0"/>
    </xf>
    <xf numFmtId="1" fontId="7" fillId="0" borderId="12" xfId="0" applyNumberFormat="1" applyFont="1" applyBorder="1" applyAlignment="1" applyProtection="1">
      <alignment horizontal="center" vertical="center" wrapText="1"/>
      <protection locked="0"/>
    </xf>
    <xf numFmtId="1" fontId="7" fillId="0" borderId="57" xfId="0" applyNumberFormat="1" applyFont="1" applyBorder="1" applyAlignment="1" applyProtection="1">
      <alignment horizontal="center" vertical="center" wrapText="1"/>
      <protection locked="0"/>
    </xf>
    <xf numFmtId="1" fontId="7" fillId="0" borderId="36" xfId="0" applyNumberFormat="1" applyFont="1" applyBorder="1" applyAlignment="1" applyProtection="1">
      <alignment horizontal="center" vertical="center" wrapText="1"/>
      <protection locked="0"/>
    </xf>
    <xf numFmtId="1" fontId="7" fillId="0" borderId="37" xfId="0" applyNumberFormat="1" applyFont="1" applyBorder="1" applyAlignment="1" applyProtection="1">
      <alignment horizontal="center" vertical="center" wrapText="1"/>
      <protection locked="0"/>
    </xf>
    <xf numFmtId="0" fontId="12" fillId="0" borderId="55" xfId="0" applyFont="1" applyBorder="1" applyAlignment="1" applyProtection="1">
      <alignment horizontal="center" vertical="center" wrapText="1"/>
      <protection locked="0"/>
    </xf>
    <xf numFmtId="0" fontId="12" fillId="0" borderId="39" xfId="0" applyFont="1" applyBorder="1" applyAlignment="1" applyProtection="1">
      <alignment horizontal="center" vertical="center" wrapText="1"/>
      <protection locked="0"/>
    </xf>
    <xf numFmtId="0" fontId="12" fillId="0" borderId="10" xfId="0" applyFont="1" applyBorder="1" applyAlignment="1" applyProtection="1">
      <alignment horizontal="center" vertical="center" wrapText="1"/>
      <protection locked="0"/>
    </xf>
    <xf numFmtId="0" fontId="12" fillId="0" borderId="56" xfId="0" applyFont="1" applyBorder="1" applyAlignment="1" applyProtection="1">
      <alignment horizontal="center" vertical="center" wrapText="1"/>
      <protection locked="0"/>
    </xf>
    <xf numFmtId="0" fontId="12" fillId="0" borderId="0" xfId="0" applyFont="1" applyBorder="1" applyAlignment="1" applyProtection="1">
      <alignment horizontal="center" vertical="center" wrapText="1"/>
      <protection locked="0"/>
    </xf>
    <xf numFmtId="0" fontId="12" fillId="0" borderId="12" xfId="0" applyFont="1" applyBorder="1" applyAlignment="1" applyProtection="1">
      <alignment horizontal="center" vertical="center" wrapText="1"/>
      <protection locked="0"/>
    </xf>
    <xf numFmtId="0" fontId="12" fillId="0" borderId="57" xfId="0" applyFont="1" applyBorder="1" applyAlignment="1" applyProtection="1">
      <alignment horizontal="center" vertical="center" wrapText="1"/>
      <protection locked="0"/>
    </xf>
    <xf numFmtId="0" fontId="12" fillId="0" borderId="36" xfId="0" applyFont="1" applyBorder="1" applyAlignment="1" applyProtection="1">
      <alignment horizontal="center" vertical="center" wrapText="1"/>
      <protection locked="0"/>
    </xf>
    <xf numFmtId="0" fontId="12" fillId="0" borderId="37" xfId="0" applyFont="1" applyBorder="1" applyAlignment="1" applyProtection="1">
      <alignment horizontal="center" vertical="center" wrapText="1"/>
      <protection locked="0"/>
    </xf>
    <xf numFmtId="0" fontId="12" fillId="0" borderId="55" xfId="0" applyFont="1" applyBorder="1" applyAlignment="1" applyProtection="1">
      <alignment horizontal="center" vertical="center"/>
      <protection locked="0"/>
    </xf>
    <xf numFmtId="0" fontId="12" fillId="0" borderId="39" xfId="0" applyFont="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0" borderId="56" xfId="0" applyFont="1" applyBorder="1" applyAlignment="1" applyProtection="1">
      <alignment horizontal="center" vertical="center"/>
      <protection locked="0"/>
    </xf>
    <xf numFmtId="0" fontId="12" fillId="0" borderId="0" xfId="0" applyFont="1" applyBorder="1" applyAlignment="1" applyProtection="1">
      <alignment horizontal="center" vertical="center"/>
      <protection locked="0"/>
    </xf>
    <xf numFmtId="0" fontId="12" fillId="0" borderId="12" xfId="0" applyFont="1" applyBorder="1" applyAlignment="1" applyProtection="1">
      <alignment horizontal="center" vertical="center"/>
      <protection locked="0"/>
    </xf>
    <xf numFmtId="0" fontId="12" fillId="0" borderId="57" xfId="0" applyFont="1" applyBorder="1" applyAlignment="1" applyProtection="1">
      <alignment horizontal="center" vertical="center"/>
      <protection locked="0"/>
    </xf>
    <xf numFmtId="0" fontId="12" fillId="0" borderId="36" xfId="0" applyFont="1" applyBorder="1" applyAlignment="1" applyProtection="1">
      <alignment horizontal="center" vertical="center"/>
      <protection locked="0"/>
    </xf>
    <xf numFmtId="0" fontId="12" fillId="0" borderId="37" xfId="0" applyFont="1" applyBorder="1" applyAlignment="1" applyProtection="1">
      <alignment horizontal="center" vertical="center"/>
      <protection locked="0"/>
    </xf>
    <xf numFmtId="49" fontId="12" fillId="0" borderId="55" xfId="0" applyNumberFormat="1" applyFont="1" applyBorder="1" applyAlignment="1" applyProtection="1">
      <alignment horizontal="center" vertical="center"/>
      <protection locked="0"/>
    </xf>
    <xf numFmtId="49" fontId="12" fillId="0" borderId="39" xfId="0" applyNumberFormat="1" applyFont="1" applyBorder="1" applyAlignment="1" applyProtection="1">
      <alignment horizontal="center" vertical="center"/>
      <protection locked="0"/>
    </xf>
    <xf numFmtId="49" fontId="12" fillId="0" borderId="10" xfId="0" applyNumberFormat="1" applyFont="1" applyBorder="1" applyAlignment="1" applyProtection="1">
      <alignment horizontal="center" vertical="center"/>
      <protection locked="0"/>
    </xf>
    <xf numFmtId="49" fontId="12" fillId="0" borderId="56" xfId="0" applyNumberFormat="1" applyFont="1" applyBorder="1" applyAlignment="1" applyProtection="1">
      <alignment horizontal="center" vertical="center"/>
      <protection locked="0"/>
    </xf>
    <xf numFmtId="49" fontId="12" fillId="0" borderId="0" xfId="0" applyNumberFormat="1" applyFont="1" applyBorder="1" applyAlignment="1" applyProtection="1">
      <alignment horizontal="center" vertical="center"/>
      <protection locked="0"/>
    </xf>
    <xf numFmtId="49" fontId="12" fillId="0" borderId="12" xfId="0" applyNumberFormat="1" applyFont="1" applyBorder="1" applyAlignment="1" applyProtection="1">
      <alignment horizontal="center" vertical="center"/>
      <protection locked="0"/>
    </xf>
    <xf numFmtId="49" fontId="12" fillId="0" borderId="57" xfId="0" applyNumberFormat="1" applyFont="1" applyBorder="1" applyAlignment="1" applyProtection="1">
      <alignment horizontal="center" vertical="center"/>
      <protection locked="0"/>
    </xf>
    <xf numFmtId="49" fontId="12" fillId="0" borderId="36" xfId="0" applyNumberFormat="1" applyFont="1" applyBorder="1" applyAlignment="1" applyProtection="1">
      <alignment horizontal="center" vertical="center"/>
      <protection locked="0"/>
    </xf>
    <xf numFmtId="49" fontId="12" fillId="0" borderId="37" xfId="0" applyNumberFormat="1" applyFont="1" applyBorder="1" applyAlignment="1" applyProtection="1">
      <alignment horizontal="center" vertical="center"/>
      <protection locked="0"/>
    </xf>
    <xf numFmtId="1" fontId="12" fillId="0" borderId="55" xfId="0" applyNumberFormat="1" applyFont="1" applyBorder="1" applyAlignment="1" applyProtection="1">
      <alignment horizontal="center" vertical="center" wrapText="1"/>
      <protection locked="0"/>
    </xf>
    <xf numFmtId="1" fontId="12" fillId="0" borderId="39" xfId="0" applyNumberFormat="1" applyFont="1" applyBorder="1" applyAlignment="1" applyProtection="1">
      <alignment horizontal="center" vertical="center" wrapText="1"/>
      <protection locked="0"/>
    </xf>
    <xf numFmtId="1" fontId="12" fillId="0" borderId="10" xfId="0" applyNumberFormat="1" applyFont="1" applyBorder="1" applyAlignment="1" applyProtection="1">
      <alignment horizontal="center" vertical="center" wrapText="1"/>
      <protection locked="0"/>
    </xf>
    <xf numFmtId="1" fontId="12" fillId="0" borderId="56" xfId="0" applyNumberFormat="1" applyFont="1" applyBorder="1" applyAlignment="1" applyProtection="1">
      <alignment horizontal="center" vertical="center" wrapText="1"/>
      <protection locked="0"/>
    </xf>
    <xf numFmtId="1" fontId="12" fillId="0" borderId="0" xfId="0" applyNumberFormat="1" applyFont="1" applyBorder="1" applyAlignment="1" applyProtection="1">
      <alignment horizontal="center" vertical="center" wrapText="1"/>
      <protection locked="0"/>
    </xf>
    <xf numFmtId="1" fontId="12" fillId="0" borderId="12" xfId="0" applyNumberFormat="1" applyFont="1" applyBorder="1" applyAlignment="1" applyProtection="1">
      <alignment horizontal="center" vertical="center" wrapText="1"/>
      <protection locked="0"/>
    </xf>
    <xf numFmtId="1" fontId="12" fillId="0" borderId="57" xfId="0" applyNumberFormat="1" applyFont="1" applyBorder="1" applyAlignment="1" applyProtection="1">
      <alignment horizontal="center" vertical="center" wrapText="1"/>
      <protection locked="0"/>
    </xf>
    <xf numFmtId="1" fontId="12" fillId="0" borderId="36" xfId="0" applyNumberFormat="1" applyFont="1" applyBorder="1" applyAlignment="1" applyProtection="1">
      <alignment horizontal="center" vertical="center" wrapText="1"/>
      <protection locked="0"/>
    </xf>
    <xf numFmtId="1" fontId="12" fillId="0" borderId="37" xfId="0" applyNumberFormat="1" applyFont="1" applyBorder="1" applyAlignment="1" applyProtection="1">
      <alignment horizontal="center" vertical="center" wrapText="1"/>
      <protection locked="0"/>
    </xf>
    <xf numFmtId="0" fontId="7" fillId="0" borderId="38" xfId="0" applyFont="1" applyBorder="1" applyAlignment="1" applyProtection="1">
      <alignment horizontal="center" vertical="center"/>
      <protection locked="0"/>
    </xf>
    <xf numFmtId="0" fontId="7" fillId="0" borderId="53" xfId="0" applyFont="1" applyBorder="1" applyAlignment="1" applyProtection="1">
      <alignment horizontal="center" vertical="center"/>
      <protection locked="0"/>
    </xf>
    <xf numFmtId="0" fontId="7" fillId="0" borderId="40" xfId="0" applyFont="1" applyBorder="1" applyAlignment="1" applyProtection="1">
      <alignment horizontal="center" vertical="center"/>
      <protection locked="0"/>
    </xf>
    <xf numFmtId="0" fontId="8" fillId="0" borderId="9" xfId="0" applyFont="1" applyBorder="1" applyAlignment="1" applyProtection="1">
      <alignment horizontal="center" wrapText="1"/>
      <protection locked="0"/>
    </xf>
    <xf numFmtId="0" fontId="9" fillId="0" borderId="10" xfId="0" applyFont="1" applyBorder="1" applyAlignment="1" applyProtection="1">
      <alignment horizontal="center" wrapText="1"/>
      <protection locked="0"/>
    </xf>
    <xf numFmtId="0" fontId="9" fillId="0" borderId="11" xfId="0" applyFont="1" applyBorder="1" applyAlignment="1" applyProtection="1">
      <alignment horizontal="center" wrapText="1"/>
      <protection locked="0"/>
    </xf>
    <xf numFmtId="0" fontId="9" fillId="0" borderId="12" xfId="0" applyFont="1" applyBorder="1" applyAlignment="1" applyProtection="1">
      <alignment horizontal="center" wrapText="1"/>
      <protection locked="0"/>
    </xf>
    <xf numFmtId="0" fontId="6" fillId="0" borderId="27" xfId="0" applyFont="1" applyBorder="1" applyAlignment="1" applyProtection="1">
      <alignment horizontal="center"/>
      <protection locked="0"/>
    </xf>
    <xf numFmtId="0" fontId="6" fillId="0" borderId="39" xfId="0" applyFont="1" applyBorder="1" applyAlignment="1" applyProtection="1">
      <alignment horizontal="center"/>
      <protection locked="0"/>
    </xf>
    <xf numFmtId="0" fontId="5" fillId="2" borderId="26" xfId="0" applyFont="1" applyFill="1" applyBorder="1" applyAlignment="1" applyProtection="1">
      <alignment horizontal="center"/>
      <protection locked="0"/>
    </xf>
    <xf numFmtId="0" fontId="5" fillId="2" borderId="27" xfId="0" applyFont="1" applyFill="1" applyBorder="1" applyAlignment="1" applyProtection="1">
      <alignment horizontal="center"/>
      <protection locked="0"/>
    </xf>
    <xf numFmtId="0" fontId="6" fillId="2" borderId="41" xfId="0" applyFont="1" applyFill="1" applyBorder="1" applyAlignment="1" applyProtection="1">
      <protection locked="0"/>
    </xf>
    <xf numFmtId="0" fontId="6" fillId="2" borderId="42" xfId="0" applyFont="1" applyFill="1" applyBorder="1" applyAlignment="1" applyProtection="1">
      <protection locked="0"/>
    </xf>
    <xf numFmtId="0" fontId="7" fillId="0" borderId="47" xfId="0" applyFont="1" applyBorder="1" applyAlignment="1" applyProtection="1">
      <alignment horizontal="center" wrapText="1"/>
      <protection locked="0"/>
    </xf>
    <xf numFmtId="0" fontId="7" fillId="0" borderId="3" xfId="0" applyFont="1" applyBorder="1" applyAlignment="1" applyProtection="1">
      <alignment horizontal="center" wrapText="1"/>
      <protection locked="0"/>
    </xf>
    <xf numFmtId="0" fontId="10" fillId="4" borderId="47" xfId="0" applyFont="1" applyFill="1" applyBorder="1" applyAlignment="1" applyProtection="1">
      <alignment horizontal="center" vertical="center" wrapText="1"/>
      <protection locked="0"/>
    </xf>
    <xf numFmtId="0" fontId="10" fillId="4" borderId="59" xfId="0" applyFont="1" applyFill="1" applyBorder="1" applyAlignment="1" applyProtection="1">
      <alignment horizontal="center" vertical="center" wrapText="1"/>
      <protection locked="0"/>
    </xf>
    <xf numFmtId="0" fontId="10" fillId="4" borderId="3" xfId="0" applyFont="1" applyFill="1" applyBorder="1" applyAlignment="1" applyProtection="1">
      <alignment horizontal="center" vertical="center" wrapText="1"/>
      <protection locked="0"/>
    </xf>
    <xf numFmtId="0" fontId="10" fillId="4" borderId="19" xfId="0" applyFont="1" applyFill="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61" xfId="0" applyFont="1" applyBorder="1" applyAlignment="1" applyProtection="1">
      <alignment horizontal="center" vertical="center" wrapText="1"/>
      <protection locked="0"/>
    </xf>
    <xf numFmtId="14" fontId="7" fillId="0" borderId="51" xfId="0" applyNumberFormat="1" applyFont="1" applyBorder="1" applyAlignment="1" applyProtection="1">
      <alignment horizontal="center" vertical="center" wrapText="1"/>
      <protection locked="0"/>
    </xf>
    <xf numFmtId="14" fontId="7" fillId="0" borderId="34" xfId="0" applyNumberFormat="1" applyFont="1" applyBorder="1" applyAlignment="1" applyProtection="1">
      <alignment horizontal="center" vertical="center" wrapText="1"/>
      <protection locked="0"/>
    </xf>
    <xf numFmtId="14" fontId="7" fillId="0" borderId="57" xfId="0" applyNumberFormat="1" applyFont="1" applyBorder="1" applyAlignment="1" applyProtection="1">
      <alignment horizontal="center" vertical="center" wrapText="1"/>
      <protection locked="0"/>
    </xf>
    <xf numFmtId="14" fontId="7" fillId="0" borderId="37" xfId="0" applyNumberFormat="1" applyFont="1" applyBorder="1" applyAlignment="1" applyProtection="1">
      <alignment horizontal="center" vertical="center" wrapText="1"/>
      <protection locked="0"/>
    </xf>
    <xf numFmtId="0" fontId="7" fillId="0" borderId="28" xfId="0" applyFont="1" applyBorder="1" applyAlignment="1" applyProtection="1">
      <alignment horizontal="center" vertical="center" wrapText="1"/>
      <protection locked="0"/>
    </xf>
    <xf numFmtId="0" fontId="7" fillId="0" borderId="30" xfId="0" applyFont="1" applyBorder="1" applyAlignment="1" applyProtection="1">
      <alignment horizontal="center" vertical="center" wrapText="1"/>
      <protection locked="0"/>
    </xf>
    <xf numFmtId="0" fontId="7" fillId="0" borderId="35" xfId="0" applyFont="1" applyBorder="1" applyAlignment="1" applyProtection="1">
      <alignment horizontal="center" vertical="center" wrapText="1"/>
      <protection locked="0"/>
    </xf>
    <xf numFmtId="0" fontId="7" fillId="0" borderId="60" xfId="0" applyFont="1" applyBorder="1" applyAlignment="1" applyProtection="1">
      <alignment horizontal="center" vertical="center" wrapText="1"/>
      <protection locked="0"/>
    </xf>
    <xf numFmtId="49" fontId="2" fillId="0" borderId="9" xfId="0" applyNumberFormat="1" applyFont="1" applyBorder="1" applyAlignment="1" applyProtection="1">
      <alignment horizontal="center" vertical="center" wrapText="1"/>
      <protection locked="0"/>
    </xf>
    <xf numFmtId="49" fontId="2" fillId="0" borderId="39" xfId="0" applyNumberFormat="1" applyFont="1" applyBorder="1" applyAlignment="1" applyProtection="1">
      <alignment horizontal="center" vertical="center" wrapText="1"/>
      <protection locked="0"/>
    </xf>
    <xf numFmtId="49" fontId="2" fillId="0" borderId="10" xfId="0" applyNumberFormat="1" applyFont="1" applyBorder="1" applyAlignment="1" applyProtection="1">
      <alignment horizontal="center" vertical="center" wrapText="1"/>
      <protection locked="0"/>
    </xf>
    <xf numFmtId="49" fontId="2" fillId="0" borderId="11" xfId="0" applyNumberFormat="1" applyFont="1" applyBorder="1" applyAlignment="1" applyProtection="1">
      <alignment horizontal="center" vertical="center" wrapText="1"/>
      <protection locked="0"/>
    </xf>
    <xf numFmtId="49" fontId="2" fillId="0" borderId="0" xfId="0" applyNumberFormat="1" applyFont="1" applyBorder="1" applyAlignment="1" applyProtection="1">
      <alignment horizontal="center" vertical="center" wrapText="1"/>
      <protection locked="0"/>
    </xf>
    <xf numFmtId="49" fontId="2" fillId="0" borderId="12" xfId="0" applyNumberFormat="1" applyFont="1" applyBorder="1" applyAlignment="1" applyProtection="1">
      <alignment horizontal="center" vertical="center" wrapText="1"/>
      <protection locked="0"/>
    </xf>
    <xf numFmtId="49" fontId="2" fillId="0" borderId="35" xfId="0" applyNumberFormat="1" applyFont="1" applyBorder="1" applyAlignment="1" applyProtection="1">
      <alignment horizontal="center" vertical="center" wrapText="1"/>
      <protection locked="0"/>
    </xf>
    <xf numFmtId="49" fontId="2" fillId="0" borderId="36" xfId="0" applyNumberFormat="1" applyFont="1" applyBorder="1" applyAlignment="1" applyProtection="1">
      <alignment horizontal="center" vertical="center" wrapText="1"/>
      <protection locked="0"/>
    </xf>
    <xf numFmtId="49" fontId="2" fillId="0" borderId="37" xfId="0" applyNumberFormat="1" applyFont="1" applyBorder="1" applyAlignment="1" applyProtection="1">
      <alignment horizontal="center" vertical="center" wrapText="1"/>
      <protection locked="0"/>
    </xf>
    <xf numFmtId="0" fontId="4" fillId="3" borderId="44" xfId="0" applyFont="1" applyFill="1" applyBorder="1" applyAlignment="1" applyProtection="1">
      <alignment horizontal="center" wrapText="1"/>
      <protection locked="0"/>
    </xf>
    <xf numFmtId="0" fontId="4" fillId="3" borderId="15" xfId="0" applyFont="1" applyFill="1" applyBorder="1" applyAlignment="1" applyProtection="1">
      <alignment horizontal="center" wrapText="1"/>
      <protection locked="0"/>
    </xf>
    <xf numFmtId="0" fontId="4" fillId="3" borderId="13" xfId="0" applyFont="1" applyFill="1" applyBorder="1" applyAlignment="1" applyProtection="1">
      <alignment horizontal="center" wrapText="1"/>
      <protection locked="0"/>
    </xf>
    <xf numFmtId="0" fontId="4" fillId="3" borderId="20" xfId="0" applyFont="1" applyFill="1" applyBorder="1" applyAlignment="1" applyProtection="1">
      <alignment horizontal="center" wrapText="1"/>
      <protection locked="0"/>
    </xf>
    <xf numFmtId="14" fontId="7" fillId="0" borderId="3" xfId="0" applyNumberFormat="1" applyFont="1" applyBorder="1" applyAlignment="1" applyProtection="1">
      <alignment horizontal="center" wrapText="1"/>
      <protection locked="0"/>
    </xf>
    <xf numFmtId="14" fontId="7" fillId="0" borderId="5" xfId="0" applyNumberFormat="1" applyFont="1" applyBorder="1" applyAlignment="1" applyProtection="1">
      <alignment horizontal="center"/>
      <protection locked="0"/>
    </xf>
    <xf numFmtId="0" fontId="7" fillId="0" borderId="5" xfId="0" applyFont="1" applyBorder="1" applyAlignment="1" applyProtection="1">
      <alignment horizontal="center"/>
      <protection locked="0"/>
    </xf>
    <xf numFmtId="0" fontId="4" fillId="2" borderId="9" xfId="0" applyFont="1" applyFill="1" applyBorder="1" applyAlignment="1" applyProtection="1">
      <alignment horizontal="center"/>
      <protection locked="0"/>
    </xf>
    <xf numFmtId="0" fontId="4" fillId="2" borderId="39" xfId="0" applyFont="1" applyFill="1" applyBorder="1" applyAlignment="1" applyProtection="1">
      <alignment horizontal="center"/>
      <protection locked="0"/>
    </xf>
    <xf numFmtId="0" fontId="4" fillId="2" borderId="10" xfId="0" applyFont="1" applyFill="1" applyBorder="1" applyAlignment="1" applyProtection="1">
      <alignment horizontal="center"/>
      <protection locked="0"/>
    </xf>
    <xf numFmtId="0" fontId="4" fillId="2" borderId="35" xfId="0" applyFont="1" applyFill="1" applyBorder="1" applyAlignment="1" applyProtection="1">
      <alignment horizontal="center"/>
      <protection locked="0"/>
    </xf>
    <xf numFmtId="0" fontId="4" fillId="2" borderId="36" xfId="0" applyFont="1" applyFill="1" applyBorder="1" applyAlignment="1" applyProtection="1">
      <alignment horizontal="center"/>
      <protection locked="0"/>
    </xf>
    <xf numFmtId="0" fontId="4" fillId="2" borderId="37" xfId="0" applyFont="1" applyFill="1" applyBorder="1" applyAlignment="1" applyProtection="1">
      <alignment horizontal="center"/>
      <protection locked="0"/>
    </xf>
    <xf numFmtId="0" fontId="10" fillId="4" borderId="11" xfId="0" applyFont="1" applyFill="1" applyBorder="1" applyAlignment="1" applyProtection="1">
      <alignment horizontal="center" wrapText="1"/>
      <protection locked="0"/>
    </xf>
    <xf numFmtId="0" fontId="10" fillId="4" borderId="0" xfId="0" applyFont="1" applyFill="1" applyBorder="1" applyAlignment="1" applyProtection="1">
      <alignment horizontal="center" wrapText="1"/>
      <protection locked="0"/>
    </xf>
    <xf numFmtId="0" fontId="10" fillId="4" borderId="58" xfId="0" applyFont="1" applyFill="1" applyBorder="1" applyAlignment="1" applyProtection="1">
      <alignment horizontal="center" wrapText="1"/>
      <protection locked="0"/>
    </xf>
    <xf numFmtId="0" fontId="10" fillId="4" borderId="31" xfId="0" applyFont="1" applyFill="1" applyBorder="1" applyAlignment="1" applyProtection="1">
      <alignment horizontal="center" wrapText="1"/>
      <protection locked="0"/>
    </xf>
    <xf numFmtId="0" fontId="10" fillId="4" borderId="32" xfId="0" applyFont="1" applyFill="1" applyBorder="1" applyAlignment="1" applyProtection="1">
      <alignment horizontal="center" wrapText="1"/>
      <protection locked="0"/>
    </xf>
    <xf numFmtId="0" fontId="10" fillId="4" borderId="33" xfId="0" applyFont="1" applyFill="1" applyBorder="1" applyAlignment="1" applyProtection="1">
      <alignment horizontal="center" wrapText="1"/>
      <protection locked="0"/>
    </xf>
    <xf numFmtId="0" fontId="10" fillId="4" borderId="28" xfId="0" applyFont="1" applyFill="1" applyBorder="1" applyAlignment="1" applyProtection="1">
      <alignment horizontal="center" vertical="center"/>
      <protection locked="0"/>
    </xf>
    <xf numFmtId="0" fontId="10" fillId="4" borderId="29" xfId="0" applyFont="1" applyFill="1" applyBorder="1" applyAlignment="1" applyProtection="1">
      <alignment horizontal="center" vertical="center"/>
      <protection locked="0"/>
    </xf>
    <xf numFmtId="0" fontId="10" fillId="4" borderId="30" xfId="0" applyFont="1" applyFill="1" applyBorder="1" applyAlignment="1" applyProtection="1">
      <alignment horizontal="center" vertical="center"/>
      <protection locked="0"/>
    </xf>
    <xf numFmtId="0" fontId="10" fillId="4" borderId="11" xfId="0" applyFont="1" applyFill="1" applyBorder="1" applyAlignment="1" applyProtection="1">
      <alignment horizontal="center" vertical="center"/>
      <protection locked="0"/>
    </xf>
    <xf numFmtId="0" fontId="10" fillId="4" borderId="0" xfId="0" applyFont="1" applyFill="1" applyBorder="1" applyAlignment="1" applyProtection="1">
      <alignment horizontal="center" vertical="center"/>
      <protection locked="0"/>
    </xf>
    <xf numFmtId="0" fontId="10" fillId="4" borderId="58" xfId="0" applyFont="1" applyFill="1" applyBorder="1" applyAlignment="1" applyProtection="1">
      <alignment horizontal="center" vertical="center"/>
      <protection locked="0"/>
    </xf>
    <xf numFmtId="0" fontId="10" fillId="4" borderId="35" xfId="0" applyFont="1" applyFill="1" applyBorder="1" applyAlignment="1" applyProtection="1">
      <alignment horizontal="center" vertical="center"/>
      <protection locked="0"/>
    </xf>
    <xf numFmtId="0" fontId="10" fillId="4" borderId="36" xfId="0" applyFont="1" applyFill="1" applyBorder="1" applyAlignment="1" applyProtection="1">
      <alignment horizontal="center" vertical="center"/>
      <protection locked="0"/>
    </xf>
    <xf numFmtId="0" fontId="10" fillId="4" borderId="60" xfId="0" applyFont="1" applyFill="1" applyBorder="1" applyAlignment="1" applyProtection="1">
      <alignment horizontal="center" vertical="center"/>
      <protection locked="0"/>
    </xf>
    <xf numFmtId="0" fontId="10" fillId="4" borderId="51" xfId="0" applyFont="1" applyFill="1" applyBorder="1" applyAlignment="1" applyProtection="1">
      <alignment horizontal="center" vertical="center" wrapText="1"/>
      <protection locked="0"/>
    </xf>
    <xf numFmtId="0" fontId="10" fillId="4" borderId="30" xfId="0" applyFont="1" applyFill="1" applyBorder="1" applyAlignment="1" applyProtection="1">
      <alignment horizontal="center" vertical="center" wrapText="1"/>
      <protection locked="0"/>
    </xf>
    <xf numFmtId="0" fontId="10" fillId="4" borderId="56" xfId="0" applyFont="1" applyFill="1" applyBorder="1" applyAlignment="1" applyProtection="1">
      <alignment horizontal="center" vertical="center" wrapText="1"/>
      <protection locked="0"/>
    </xf>
    <xf numFmtId="0" fontId="10" fillId="4" borderId="58" xfId="0" applyFont="1" applyFill="1" applyBorder="1" applyAlignment="1" applyProtection="1">
      <alignment horizontal="center" vertical="center" wrapText="1"/>
      <protection locked="0"/>
    </xf>
    <xf numFmtId="0" fontId="10" fillId="4" borderId="57" xfId="0" applyFont="1" applyFill="1" applyBorder="1" applyAlignment="1" applyProtection="1">
      <alignment horizontal="center" vertical="center" wrapText="1"/>
      <protection locked="0"/>
    </xf>
    <xf numFmtId="0" fontId="10" fillId="4" borderId="60" xfId="0" applyFont="1" applyFill="1" applyBorder="1" applyAlignment="1" applyProtection="1">
      <alignment horizontal="center" vertical="center" wrapText="1"/>
      <protection locked="0"/>
    </xf>
    <xf numFmtId="0" fontId="0" fillId="2" borderId="53" xfId="0" applyFill="1" applyBorder="1" applyAlignment="1" applyProtection="1">
      <alignment horizontal="center" vertical="center"/>
      <protection locked="0"/>
    </xf>
    <xf numFmtId="0" fontId="0" fillId="2" borderId="40" xfId="0" applyFill="1" applyBorder="1" applyAlignment="1" applyProtection="1">
      <alignment horizontal="center" vertical="center"/>
      <protection locked="0"/>
    </xf>
    <xf numFmtId="0" fontId="0" fillId="2" borderId="38" xfId="0" applyFill="1" applyBorder="1" applyAlignment="1" applyProtection="1">
      <alignment horizontal="center" vertical="center"/>
      <protection locked="0"/>
    </xf>
    <xf numFmtId="0" fontId="6" fillId="0" borderId="25" xfId="0" applyFont="1" applyBorder="1" applyAlignment="1" applyProtection="1">
      <alignment horizontal="left"/>
      <protection locked="0"/>
    </xf>
    <xf numFmtId="0" fontId="6" fillId="0" borderId="3" xfId="0" applyFont="1" applyBorder="1" applyAlignment="1" applyProtection="1">
      <alignment horizontal="left"/>
      <protection locked="0"/>
    </xf>
    <xf numFmtId="0" fontId="6" fillId="0" borderId="19" xfId="0" applyFont="1" applyBorder="1" applyAlignment="1" applyProtection="1">
      <alignment horizontal="left"/>
      <protection locked="0"/>
    </xf>
    <xf numFmtId="0" fontId="6" fillId="0" borderId="13" xfId="0" applyFont="1" applyBorder="1" applyAlignment="1" applyProtection="1">
      <alignment horizontal="left"/>
      <protection locked="0"/>
    </xf>
    <xf numFmtId="0" fontId="6" fillId="0" borderId="20" xfId="0" applyFont="1" applyBorder="1" applyAlignment="1" applyProtection="1">
      <alignment horizontal="left"/>
      <protection locked="0"/>
    </xf>
    <xf numFmtId="0" fontId="6" fillId="0" borderId="18" xfId="0" applyFont="1" applyBorder="1" applyAlignment="1" applyProtection="1">
      <alignment horizontal="left"/>
      <protection locked="0"/>
    </xf>
    <xf numFmtId="0" fontId="4" fillId="2" borderId="38" xfId="0" applyFont="1" applyFill="1" applyBorder="1" applyAlignment="1" applyProtection="1">
      <alignment horizontal="center" vertical="center"/>
      <protection locked="0"/>
    </xf>
    <xf numFmtId="0" fontId="4" fillId="2" borderId="40" xfId="0" applyFont="1" applyFill="1" applyBorder="1" applyAlignment="1" applyProtection="1">
      <alignment horizontal="center" vertical="center"/>
      <protection locked="0"/>
    </xf>
    <xf numFmtId="0" fontId="6" fillId="0" borderId="22" xfId="0" applyFont="1" applyBorder="1" applyAlignment="1" applyProtection="1">
      <protection locked="0"/>
    </xf>
    <xf numFmtId="0" fontId="6" fillId="0" borderId="15" xfId="0" applyFont="1" applyBorder="1" applyAlignment="1" applyProtection="1">
      <protection locked="0"/>
    </xf>
    <xf numFmtId="0" fontId="6" fillId="0" borderId="24" xfId="0" applyFont="1" applyBorder="1" applyAlignment="1" applyProtection="1">
      <protection locked="0"/>
    </xf>
    <xf numFmtId="0" fontId="6" fillId="0" borderId="16" xfId="0" applyFont="1" applyBorder="1" applyAlignment="1" applyProtection="1">
      <protection locked="0"/>
    </xf>
    <xf numFmtId="0" fontId="6" fillId="0" borderId="45" xfId="0" applyFont="1" applyBorder="1" applyAlignment="1" applyProtection="1">
      <alignment horizontal="left"/>
      <protection locked="0"/>
    </xf>
    <xf numFmtId="0" fontId="6" fillId="0" borderId="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23" xfId="0" applyFont="1" applyBorder="1" applyAlignment="1" applyProtection="1">
      <alignment vertical="center"/>
      <protection locked="0"/>
    </xf>
    <xf numFmtId="0" fontId="6" fillId="0" borderId="17" xfId="0" applyFont="1" applyBorder="1" applyAlignment="1" applyProtection="1">
      <alignment vertical="center"/>
      <protection locked="0"/>
    </xf>
    <xf numFmtId="0" fontId="4" fillId="6" borderId="13" xfId="0" applyFont="1" applyFill="1" applyBorder="1" applyAlignment="1" applyProtection="1">
      <alignment horizontal="center"/>
      <protection locked="0"/>
    </xf>
    <xf numFmtId="0" fontId="4" fillId="6" borderId="20" xfId="0" applyFont="1" applyFill="1" applyBorder="1" applyAlignment="1" applyProtection="1">
      <alignment horizontal="center"/>
      <protection locked="0"/>
    </xf>
    <xf numFmtId="0" fontId="4" fillId="6" borderId="44" xfId="0" applyFont="1" applyFill="1" applyBorder="1" applyAlignment="1" applyProtection="1">
      <alignment horizontal="center"/>
      <protection locked="0"/>
    </xf>
    <xf numFmtId="0" fontId="6" fillId="0" borderId="25" xfId="0" applyFont="1" applyBorder="1" applyAlignment="1" applyProtection="1">
      <alignment horizontal="center"/>
      <protection locked="0"/>
    </xf>
    <xf numFmtId="0" fontId="6" fillId="0" borderId="3" xfId="0" applyFont="1" applyBorder="1" applyAlignment="1" applyProtection="1">
      <alignment horizontal="center"/>
      <protection locked="0"/>
    </xf>
    <xf numFmtId="0" fontId="6" fillId="0" borderId="62" xfId="0" applyFont="1" applyBorder="1" applyAlignment="1" applyProtection="1">
      <alignment horizontal="center"/>
      <protection locked="0"/>
    </xf>
    <xf numFmtId="0" fontId="6" fillId="0" borderId="66"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7" xfId="0" applyFont="1" applyBorder="1" applyAlignment="1" applyProtection="1">
      <alignment horizontal="center"/>
      <protection locked="0"/>
    </xf>
    <xf numFmtId="0" fontId="6" fillId="0" borderId="0" xfId="0" applyFont="1" applyBorder="1" applyAlignment="1" applyProtection="1">
      <alignment horizontal="center" vertical="center"/>
      <protection locked="0"/>
    </xf>
    <xf numFmtId="0" fontId="6" fillId="0" borderId="36" xfId="0" applyFont="1" applyBorder="1" applyAlignment="1" applyProtection="1">
      <alignment horizontal="center" vertical="center"/>
      <protection locked="0"/>
    </xf>
    <xf numFmtId="0" fontId="6" fillId="0" borderId="14" xfId="0" applyFont="1" applyBorder="1" applyAlignment="1" applyProtection="1">
      <alignment horizontal="center"/>
      <protection locked="0"/>
    </xf>
    <xf numFmtId="0" fontId="6" fillId="0" borderId="4" xfId="0" applyFont="1" applyBorder="1" applyAlignment="1" applyProtection="1">
      <alignment horizontal="center"/>
      <protection locked="0"/>
    </xf>
    <xf numFmtId="0" fontId="6" fillId="0" borderId="63" xfId="0" applyFont="1" applyBorder="1" applyAlignment="1" applyProtection="1">
      <alignment horizontal="center"/>
      <protection locked="0"/>
    </xf>
    <xf numFmtId="0" fontId="0" fillId="7" borderId="53" xfId="0" applyFill="1" applyBorder="1" applyAlignment="1" applyProtection="1">
      <alignment horizontal="center"/>
      <protection locked="0"/>
    </xf>
    <xf numFmtId="0" fontId="0" fillId="7" borderId="40" xfId="0" applyFill="1" applyBorder="1" applyAlignment="1" applyProtection="1">
      <alignment horizontal="center"/>
      <protection locked="0"/>
    </xf>
    <xf numFmtId="0" fontId="4" fillId="6" borderId="11" xfId="0" applyFont="1" applyFill="1" applyBorder="1" applyAlignment="1" applyProtection="1">
      <alignment horizontal="center" vertical="center"/>
      <protection locked="0"/>
    </xf>
    <xf numFmtId="0" fontId="4" fillId="6" borderId="0" xfId="0" applyFont="1" applyFill="1" applyBorder="1" applyAlignment="1" applyProtection="1">
      <alignment horizontal="center" vertical="center"/>
      <protection locked="0"/>
    </xf>
    <xf numFmtId="0" fontId="4" fillId="6" borderId="35" xfId="0" applyFont="1" applyFill="1" applyBorder="1" applyAlignment="1" applyProtection="1">
      <alignment horizontal="center" vertical="center"/>
      <protection locked="0"/>
    </xf>
    <xf numFmtId="0" fontId="4" fillId="6" borderId="36" xfId="0" applyFont="1" applyFill="1" applyBorder="1" applyAlignment="1" applyProtection="1">
      <alignment horizontal="center" vertical="center"/>
      <protection locked="0"/>
    </xf>
    <xf numFmtId="49" fontId="7" fillId="0" borderId="55" xfId="0" applyNumberFormat="1" applyFont="1" applyBorder="1" applyAlignment="1" applyProtection="1">
      <alignment horizontal="center" vertical="center" wrapText="1"/>
      <protection locked="0"/>
    </xf>
    <xf numFmtId="49" fontId="7" fillId="0" borderId="39" xfId="0" applyNumberFormat="1" applyFont="1" applyBorder="1" applyAlignment="1" applyProtection="1">
      <alignment horizontal="center" vertical="center" wrapText="1"/>
      <protection locked="0"/>
    </xf>
    <xf numFmtId="49" fontId="7" fillId="0" borderId="10" xfId="0" applyNumberFormat="1" applyFont="1" applyBorder="1" applyAlignment="1" applyProtection="1">
      <alignment horizontal="center" vertical="center" wrapText="1"/>
      <protection locked="0"/>
    </xf>
    <xf numFmtId="49" fontId="7" fillId="0" borderId="56" xfId="0" applyNumberFormat="1" applyFont="1" applyBorder="1" applyAlignment="1" applyProtection="1">
      <alignment horizontal="center" vertical="center" wrapText="1"/>
      <protection locked="0"/>
    </xf>
    <xf numFmtId="49" fontId="7" fillId="0" borderId="0" xfId="0" applyNumberFormat="1" applyFont="1" applyBorder="1" applyAlignment="1" applyProtection="1">
      <alignment horizontal="center" vertical="center" wrapText="1"/>
      <protection locked="0"/>
    </xf>
    <xf numFmtId="49" fontId="7" fillId="0" borderId="12" xfId="0" applyNumberFormat="1" applyFont="1" applyBorder="1" applyAlignment="1" applyProtection="1">
      <alignment horizontal="center" vertical="center" wrapText="1"/>
      <protection locked="0"/>
    </xf>
    <xf numFmtId="49" fontId="7" fillId="0" borderId="57" xfId="0" applyNumberFormat="1" applyFont="1" applyBorder="1" applyAlignment="1" applyProtection="1">
      <alignment horizontal="center" vertical="center" wrapText="1"/>
      <protection locked="0"/>
    </xf>
    <xf numFmtId="49" fontId="7" fillId="0" borderId="36" xfId="0" applyNumberFormat="1" applyFont="1" applyBorder="1" applyAlignment="1" applyProtection="1">
      <alignment horizontal="center" vertical="center" wrapText="1"/>
      <protection locked="0"/>
    </xf>
    <xf numFmtId="49" fontId="7" fillId="0" borderId="37" xfId="0" applyNumberFormat="1" applyFont="1" applyBorder="1" applyAlignment="1" applyProtection="1">
      <alignment horizontal="center" vertical="center" wrapText="1"/>
      <protection locked="0"/>
    </xf>
    <xf numFmtId="0" fontId="0" fillId="0" borderId="38" xfId="0" applyBorder="1" applyAlignment="1" applyProtection="1">
      <alignment horizontal="center" vertical="center"/>
      <protection locked="0"/>
    </xf>
    <xf numFmtId="0" fontId="0" fillId="0" borderId="53" xfId="0" applyBorder="1" applyAlignment="1" applyProtection="1">
      <alignment horizontal="center" vertical="center"/>
      <protection locked="0"/>
    </xf>
    <xf numFmtId="0" fontId="0" fillId="0" borderId="40" xfId="0" applyBorder="1" applyAlignment="1" applyProtection="1">
      <alignment horizontal="center" vertical="center"/>
      <protection locked="0"/>
    </xf>
    <xf numFmtId="49" fontId="7" fillId="0" borderId="39" xfId="0" applyNumberFormat="1" applyFont="1" applyBorder="1" applyAlignment="1" applyProtection="1">
      <alignment horizontal="center" vertical="center"/>
      <protection locked="0"/>
    </xf>
    <xf numFmtId="49" fontId="7" fillId="0" borderId="10" xfId="0" applyNumberFormat="1" applyFont="1" applyBorder="1" applyAlignment="1" applyProtection="1">
      <alignment horizontal="center" vertical="center"/>
      <protection locked="0"/>
    </xf>
    <xf numFmtId="49" fontId="7" fillId="0" borderId="56" xfId="0" applyNumberFormat="1" applyFont="1" applyBorder="1" applyAlignment="1" applyProtection="1">
      <alignment horizontal="center" vertical="center"/>
      <protection locked="0"/>
    </xf>
    <xf numFmtId="49" fontId="7" fillId="0" borderId="0" xfId="0" applyNumberFormat="1" applyFont="1" applyBorder="1" applyAlignment="1" applyProtection="1">
      <alignment horizontal="center" vertical="center"/>
      <protection locked="0"/>
    </xf>
    <xf numFmtId="49" fontId="7" fillId="0" borderId="12" xfId="0" applyNumberFormat="1" applyFont="1" applyBorder="1" applyAlignment="1" applyProtection="1">
      <alignment horizontal="center" vertical="center"/>
      <protection locked="0"/>
    </xf>
    <xf numFmtId="49" fontId="7" fillId="0" borderId="57" xfId="0" applyNumberFormat="1" applyFont="1" applyBorder="1" applyAlignment="1" applyProtection="1">
      <alignment horizontal="center" vertical="center"/>
      <protection locked="0"/>
    </xf>
    <xf numFmtId="49" fontId="7" fillId="0" borderId="36" xfId="0" applyNumberFormat="1" applyFont="1" applyBorder="1" applyAlignment="1" applyProtection="1">
      <alignment horizontal="center" vertical="center"/>
      <protection locked="0"/>
    </xf>
    <xf numFmtId="49" fontId="7" fillId="0" borderId="37" xfId="0" applyNumberFormat="1" applyFont="1" applyBorder="1" applyAlignment="1" applyProtection="1">
      <alignment horizontal="center" vertical="center"/>
      <protection locked="0"/>
    </xf>
    <xf numFmtId="0" fontId="4" fillId="6" borderId="26" xfId="0" applyFont="1" applyFill="1" applyBorder="1" applyAlignment="1">
      <alignment horizontal="center" vertical="center"/>
    </xf>
    <xf numFmtId="0" fontId="4" fillId="6" borderId="27" xfId="0" applyFont="1" applyFill="1" applyBorder="1" applyAlignment="1">
      <alignment horizontal="center" vertical="center"/>
    </xf>
    <xf numFmtId="0" fontId="4" fillId="6" borderId="54" xfId="0" applyFont="1" applyFill="1" applyBorder="1" applyAlignment="1">
      <alignment horizontal="center" vertical="center"/>
    </xf>
    <xf numFmtId="0" fontId="4" fillId="0" borderId="53" xfId="0" applyFont="1" applyBorder="1" applyAlignment="1" applyProtection="1">
      <alignment horizontal="center" vertical="center"/>
      <protection locked="0"/>
    </xf>
    <xf numFmtId="0" fontId="4" fillId="0" borderId="40" xfId="0" applyFont="1" applyBorder="1" applyAlignment="1" applyProtection="1">
      <alignment horizontal="center" vertical="center"/>
      <protection locked="0"/>
    </xf>
  </cellXfs>
  <cellStyles count="1">
    <cellStyle name="Normal" xfId="0" builtinId="0"/>
  </cellStyles>
  <dxfs count="18">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rgb="FF00B050"/>
      </font>
    </dxf>
    <dxf>
      <font>
        <color rgb="FFFF0000"/>
      </font>
    </dxf>
    <dxf>
      <font>
        <condense val="0"/>
        <extend val="0"/>
        <color indexed="62"/>
      </font>
    </dxf>
    <dxf>
      <font>
        <condense val="0"/>
        <extend val="0"/>
        <color auto="1"/>
      </font>
    </dxf>
    <dxf>
      <font>
        <b val="0"/>
        <i val="0"/>
        <condense val="0"/>
        <extend val="0"/>
        <color indexed="9"/>
      </font>
      <fill>
        <patternFill>
          <bgColor indexed="10"/>
        </patternFill>
      </fill>
    </dxf>
    <dxf>
      <font>
        <condense val="0"/>
        <extend val="0"/>
        <color indexed="62"/>
      </font>
    </dxf>
    <dxf>
      <font>
        <b/>
        <i val="0"/>
        <condense val="0"/>
        <extend val="0"/>
        <color indexed="9"/>
      </font>
      <fill>
        <patternFill>
          <bgColor indexed="10"/>
        </patternFill>
      </fill>
    </dxf>
    <dxf>
      <font>
        <condense val="0"/>
        <extend val="0"/>
        <color indexed="62"/>
      </font>
    </dxf>
    <dxf>
      <font>
        <condense val="0"/>
        <extend val="0"/>
        <color auto="1"/>
      </font>
    </dxf>
    <dxf>
      <font>
        <condense val="0"/>
        <extend val="0"/>
        <color indexed="62"/>
      </font>
    </dxf>
    <dxf>
      <font>
        <condense val="0"/>
        <extend val="0"/>
        <color indexed="62"/>
      </font>
    </dxf>
    <dxf>
      <font>
        <b/>
        <i val="0"/>
        <condense val="0"/>
        <extend val="0"/>
        <color indexed="9"/>
      </font>
      <fill>
        <patternFill>
          <bgColor indexed="10"/>
        </patternFill>
      </fill>
    </dxf>
    <dxf>
      <font>
        <condense val="0"/>
        <extend val="0"/>
        <color auto="1"/>
      </font>
    </dxf>
    <dxf>
      <font>
        <b val="0"/>
        <i val="0"/>
        <condense val="0"/>
        <extend val="0"/>
        <color indexed="9"/>
      </font>
      <fill>
        <patternFill>
          <bgColor indexed="10"/>
        </patternFill>
      </fill>
    </dxf>
  </dxfs>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11"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466725</xdr:colOff>
      <xdr:row>10</xdr:row>
      <xdr:rowOff>38100</xdr:rowOff>
    </xdr:from>
    <xdr:to>
      <xdr:col>9</xdr:col>
      <xdr:colOff>228600</xdr:colOff>
      <xdr:row>12</xdr:row>
      <xdr:rowOff>142875</xdr:rowOff>
    </xdr:to>
    <xdr:pic>
      <xdr:nvPicPr>
        <xdr:cNvPr id="2" name="Imagen 1">
          <a:extLst>
            <a:ext uri="{FF2B5EF4-FFF2-40B4-BE49-F238E27FC236}">
              <a16:creationId xmlns:a16="http://schemas.microsoft.com/office/drawing/2014/main" id="{E4D4CF0C-E06A-49ED-9703-201160C2F65F}"/>
            </a:ext>
          </a:extLst>
        </xdr:cNvPr>
        <xdr:cNvPicPr>
          <a:picLocks noChangeAspect="1"/>
        </xdr:cNvPicPr>
      </xdr:nvPicPr>
      <xdr:blipFill>
        <a:blip xmlns:r="http://schemas.openxmlformats.org/officeDocument/2006/relationships" r:embed="rId1"/>
        <a:stretch>
          <a:fillRect/>
        </a:stretch>
      </xdr:blipFill>
      <xdr:spPr>
        <a:xfrm>
          <a:off x="7248525" y="1771650"/>
          <a:ext cx="1285875"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126"/>
  <sheetViews>
    <sheetView tabSelected="1" topLeftCell="A25" workbookViewId="0">
      <selection activeCell="M16" sqref="M16"/>
    </sheetView>
  </sheetViews>
  <sheetFormatPr baseColWidth="10" defaultColWidth="11.42578125" defaultRowHeight="12.75" x14ac:dyDescent="0.2"/>
  <cols>
    <col min="1" max="1" width="18.42578125" customWidth="1"/>
    <col min="4" max="4" width="39" customWidth="1"/>
    <col min="5" max="5" width="10.85546875" bestFit="1" customWidth="1"/>
    <col min="6" max="6" width="1.28515625" hidden="1" customWidth="1"/>
    <col min="7" max="7" width="10.5703125" bestFit="1" customWidth="1"/>
    <col min="8" max="10" width="11.42578125" customWidth="1"/>
    <col min="11" max="11" width="14.85546875" customWidth="1"/>
    <col min="12" max="12" width="12" bestFit="1" customWidth="1"/>
    <col min="13" max="13" width="16.7109375" customWidth="1"/>
    <col min="14" max="14" width="12.28515625" bestFit="1" customWidth="1"/>
    <col min="15" max="15" width="68.7109375" customWidth="1"/>
  </cols>
  <sheetData>
    <row r="1" spans="1:10" ht="12.75" customHeight="1" x14ac:dyDescent="0.2">
      <c r="A1" s="191" t="s">
        <v>0</v>
      </c>
      <c r="B1" s="192"/>
      <c r="C1" s="192"/>
      <c r="D1" s="192"/>
      <c r="E1" s="192"/>
      <c r="F1" s="192"/>
      <c r="G1" s="192"/>
      <c r="H1" s="193"/>
      <c r="I1" s="165" t="s">
        <v>1</v>
      </c>
      <c r="J1" s="166"/>
    </row>
    <row r="2" spans="1:10" ht="12.75" customHeight="1" thickBot="1" x14ac:dyDescent="0.25">
      <c r="A2" s="194"/>
      <c r="B2" s="195"/>
      <c r="C2" s="195"/>
      <c r="D2" s="195"/>
      <c r="E2" s="195"/>
      <c r="F2" s="195"/>
      <c r="G2" s="195"/>
      <c r="H2" s="196"/>
      <c r="I2" s="167"/>
      <c r="J2" s="168"/>
    </row>
    <row r="3" spans="1:10" ht="18" customHeight="1" x14ac:dyDescent="0.25">
      <c r="A3" s="194"/>
      <c r="B3" s="195"/>
      <c r="C3" s="195"/>
      <c r="D3" s="195"/>
      <c r="E3" s="195"/>
      <c r="F3" s="195"/>
      <c r="G3" s="195"/>
      <c r="H3" s="196"/>
      <c r="I3" s="5" t="s">
        <v>2</v>
      </c>
      <c r="J3" s="8">
        <v>2</v>
      </c>
    </row>
    <row r="4" spans="1:10" ht="16.5" thickBot="1" x14ac:dyDescent="0.3">
      <c r="A4" s="197"/>
      <c r="B4" s="198"/>
      <c r="C4" s="198"/>
      <c r="D4" s="198"/>
      <c r="E4" s="198"/>
      <c r="F4" s="198"/>
      <c r="G4" s="198"/>
      <c r="H4" s="199"/>
      <c r="I4" s="43" t="s">
        <v>3</v>
      </c>
      <c r="J4" s="44">
        <v>45541</v>
      </c>
    </row>
    <row r="5" spans="1:10" ht="12.75" customHeight="1" x14ac:dyDescent="0.2">
      <c r="A5" s="213" t="s">
        <v>115</v>
      </c>
      <c r="B5" s="214"/>
      <c r="C5" s="215"/>
      <c r="D5" s="177" t="s">
        <v>68</v>
      </c>
      <c r="E5" s="177"/>
      <c r="F5" s="178"/>
      <c r="G5" s="68" t="s">
        <v>4</v>
      </c>
      <c r="H5" s="175" t="s">
        <v>53</v>
      </c>
      <c r="I5" s="176"/>
      <c r="J5" s="176"/>
    </row>
    <row r="6" spans="1:10" ht="12.75" customHeight="1" x14ac:dyDescent="0.2">
      <c r="A6" s="213"/>
      <c r="B6" s="214"/>
      <c r="C6" s="215"/>
      <c r="D6" s="177"/>
      <c r="E6" s="177"/>
      <c r="F6" s="178"/>
      <c r="G6" s="6" t="s">
        <v>5</v>
      </c>
      <c r="H6" s="176" t="s">
        <v>119</v>
      </c>
      <c r="I6" s="176"/>
      <c r="J6" s="176"/>
    </row>
    <row r="7" spans="1:10" ht="12.75" customHeight="1" x14ac:dyDescent="0.2">
      <c r="A7" s="216"/>
      <c r="B7" s="217"/>
      <c r="C7" s="218"/>
      <c r="D7" s="179"/>
      <c r="E7" s="179"/>
      <c r="F7" s="180"/>
      <c r="G7" s="6" t="s">
        <v>7</v>
      </c>
      <c r="H7" s="176" t="s">
        <v>116</v>
      </c>
      <c r="I7" s="176"/>
      <c r="J7" s="176"/>
    </row>
    <row r="8" spans="1:10" ht="12.75" customHeight="1" x14ac:dyDescent="0.2">
      <c r="A8" s="219" t="s">
        <v>6</v>
      </c>
      <c r="B8" s="220"/>
      <c r="C8" s="221"/>
      <c r="D8" s="228" t="s">
        <v>69</v>
      </c>
      <c r="E8" s="229"/>
      <c r="F8" s="36"/>
      <c r="G8" s="7" t="s">
        <v>8</v>
      </c>
      <c r="H8" s="204">
        <v>45954</v>
      </c>
      <c r="I8" s="176"/>
      <c r="J8" s="176"/>
    </row>
    <row r="9" spans="1:10" ht="12.75" customHeight="1" x14ac:dyDescent="0.2">
      <c r="A9" s="222"/>
      <c r="B9" s="223"/>
      <c r="C9" s="224"/>
      <c r="D9" s="230"/>
      <c r="E9" s="231"/>
      <c r="F9" s="36"/>
      <c r="G9" s="7" t="s">
        <v>9</v>
      </c>
      <c r="H9" s="176"/>
      <c r="I9" s="176"/>
      <c r="J9" s="176"/>
    </row>
    <row r="10" spans="1:10" ht="12.75" customHeight="1" thickBot="1" x14ac:dyDescent="0.25">
      <c r="A10" s="225"/>
      <c r="B10" s="226"/>
      <c r="C10" s="227"/>
      <c r="D10" s="232"/>
      <c r="E10" s="233"/>
      <c r="F10" s="36"/>
      <c r="G10" s="15" t="s">
        <v>10</v>
      </c>
      <c r="H10" s="205" t="s">
        <v>72</v>
      </c>
      <c r="I10" s="206"/>
      <c r="J10" s="206"/>
    </row>
    <row r="11" spans="1:10" ht="12.75" customHeight="1" x14ac:dyDescent="0.2">
      <c r="A11" s="202" t="s">
        <v>11</v>
      </c>
      <c r="B11" s="203"/>
      <c r="C11" s="14" t="s">
        <v>12</v>
      </c>
      <c r="D11" s="14" t="s">
        <v>13</v>
      </c>
      <c r="E11" s="14" t="s">
        <v>14</v>
      </c>
      <c r="F11" s="200" t="s">
        <v>15</v>
      </c>
      <c r="G11" s="201"/>
      <c r="H11" s="45"/>
      <c r="I11" s="46"/>
      <c r="J11" s="47"/>
    </row>
    <row r="12" spans="1:10" ht="12.75" customHeight="1" x14ac:dyDescent="0.2">
      <c r="A12" s="187" t="s">
        <v>16</v>
      </c>
      <c r="B12" s="188"/>
      <c r="C12" s="181" t="s">
        <v>17</v>
      </c>
      <c r="D12" s="181" t="s">
        <v>18</v>
      </c>
      <c r="E12" s="181" t="s">
        <v>19</v>
      </c>
      <c r="F12" s="183"/>
      <c r="G12" s="184"/>
      <c r="H12" s="38"/>
      <c r="I12" s="37"/>
      <c r="J12" s="39"/>
    </row>
    <row r="13" spans="1:10" ht="13.5" thickBot="1" x14ac:dyDescent="0.25">
      <c r="A13" s="189"/>
      <c r="B13" s="190"/>
      <c r="C13" s="182"/>
      <c r="D13" s="182"/>
      <c r="E13" s="182"/>
      <c r="F13" s="185"/>
      <c r="G13" s="186"/>
      <c r="H13" s="40"/>
      <c r="I13" s="41"/>
      <c r="J13" s="42"/>
    </row>
    <row r="14" spans="1:10" ht="13.5" thickBot="1" x14ac:dyDescent="0.25">
      <c r="A14" s="171" t="s">
        <v>20</v>
      </c>
      <c r="B14" s="172"/>
      <c r="C14" s="172"/>
      <c r="D14" s="172"/>
      <c r="E14" s="172"/>
      <c r="F14" s="172"/>
      <c r="G14" s="172"/>
      <c r="H14" s="172"/>
      <c r="I14" s="172"/>
      <c r="J14" s="9"/>
    </row>
    <row r="15" spans="1:10" x14ac:dyDescent="0.2">
      <c r="A15" s="245" t="s">
        <v>21</v>
      </c>
      <c r="B15" s="246"/>
      <c r="C15" s="246"/>
      <c r="D15" s="246"/>
      <c r="E15" s="246"/>
      <c r="F15" s="246"/>
      <c r="G15" s="246"/>
      <c r="H15" s="246"/>
      <c r="I15" s="246"/>
      <c r="J15" s="4" t="s">
        <v>22</v>
      </c>
    </row>
    <row r="16" spans="1:10" x14ac:dyDescent="0.2">
      <c r="A16" s="247" t="s">
        <v>23</v>
      </c>
      <c r="B16" s="248"/>
      <c r="C16" s="248"/>
      <c r="D16" s="248"/>
      <c r="E16" s="248"/>
      <c r="F16" s="248"/>
      <c r="G16" s="248"/>
      <c r="H16" s="248"/>
      <c r="I16" s="248"/>
      <c r="J16" s="1" t="s">
        <v>24</v>
      </c>
    </row>
    <row r="17" spans="1:29" ht="12.75" customHeight="1" x14ac:dyDescent="0.2">
      <c r="A17" s="247" t="s">
        <v>25</v>
      </c>
      <c r="B17" s="248"/>
      <c r="C17" s="248"/>
      <c r="D17" s="248"/>
      <c r="E17" s="248"/>
      <c r="F17" s="248"/>
      <c r="G17" s="248"/>
      <c r="H17" s="248"/>
      <c r="I17" s="248"/>
      <c r="J17" s="1" t="s">
        <v>24</v>
      </c>
    </row>
    <row r="18" spans="1:29" ht="13.5" thickBot="1" x14ac:dyDescent="0.25">
      <c r="A18" s="252" t="s">
        <v>26</v>
      </c>
      <c r="B18" s="253"/>
      <c r="C18" s="253"/>
      <c r="D18" s="253"/>
      <c r="E18" s="253"/>
      <c r="F18" s="253"/>
      <c r="G18" s="253"/>
      <c r="H18" s="253"/>
      <c r="I18" s="253"/>
      <c r="J18" s="1" t="s">
        <v>24</v>
      </c>
    </row>
    <row r="19" spans="1:29" ht="13.5" thickBot="1" x14ac:dyDescent="0.25">
      <c r="A19" s="169"/>
      <c r="B19" s="169"/>
      <c r="C19" s="169"/>
      <c r="D19" s="169"/>
      <c r="E19" s="169"/>
      <c r="F19" s="169"/>
      <c r="G19" s="169"/>
      <c r="H19" s="169"/>
      <c r="I19" s="169"/>
      <c r="J19" s="169"/>
    </row>
    <row r="20" spans="1:29" ht="13.5" thickBot="1" x14ac:dyDescent="0.25">
      <c r="A20" s="171" t="s">
        <v>27</v>
      </c>
      <c r="B20" s="172"/>
      <c r="C20" s="172"/>
      <c r="D20" s="172"/>
      <c r="E20" s="172"/>
      <c r="F20" s="172"/>
      <c r="G20" s="172"/>
      <c r="H20" s="172"/>
      <c r="I20" s="172"/>
      <c r="J20" s="10"/>
    </row>
    <row r="21" spans="1:29" ht="13.5" thickBot="1" x14ac:dyDescent="0.25">
      <c r="A21" s="169"/>
      <c r="B21" s="170"/>
      <c r="C21" s="170"/>
      <c r="D21" s="170"/>
      <c r="E21" s="170"/>
      <c r="F21" s="170"/>
      <c r="G21" s="170"/>
      <c r="H21" s="170"/>
      <c r="I21" s="170"/>
      <c r="J21" s="170"/>
    </row>
    <row r="22" spans="1:29" x14ac:dyDescent="0.2">
      <c r="A22" s="243" t="s">
        <v>28</v>
      </c>
      <c r="B22" s="207" t="s">
        <v>29</v>
      </c>
      <c r="C22" s="208"/>
      <c r="D22" s="208"/>
      <c r="E22" s="208"/>
      <c r="F22" s="208"/>
      <c r="G22" s="208"/>
      <c r="H22" s="208"/>
      <c r="I22" s="209"/>
      <c r="J22" s="173"/>
    </row>
    <row r="23" spans="1:29" ht="13.5" thickBot="1" x14ac:dyDescent="0.25">
      <c r="A23" s="244"/>
      <c r="B23" s="210" t="s">
        <v>30</v>
      </c>
      <c r="C23" s="211"/>
      <c r="D23" s="211"/>
      <c r="E23" s="211"/>
      <c r="F23" s="211"/>
      <c r="G23" s="211"/>
      <c r="H23" s="211"/>
      <c r="I23" s="212"/>
      <c r="J23" s="174"/>
    </row>
    <row r="24" spans="1:29" x14ac:dyDescent="0.2">
      <c r="A24" s="11" t="s">
        <v>31</v>
      </c>
      <c r="B24" s="240" t="s">
        <v>32</v>
      </c>
      <c r="C24" s="241"/>
      <c r="D24" s="241"/>
      <c r="E24" s="241"/>
      <c r="F24" s="241"/>
      <c r="G24" s="241"/>
      <c r="H24" s="241"/>
      <c r="I24" s="242"/>
      <c r="J24" s="2" t="s">
        <v>22</v>
      </c>
    </row>
    <row r="25" spans="1:29" x14ac:dyDescent="0.2">
      <c r="A25" s="12" t="s">
        <v>33</v>
      </c>
      <c r="B25" s="237" t="s">
        <v>34</v>
      </c>
      <c r="C25" s="238"/>
      <c r="D25" s="238"/>
      <c r="E25" s="238"/>
      <c r="F25" s="238"/>
      <c r="G25" s="238"/>
      <c r="H25" s="238"/>
      <c r="I25" s="239"/>
      <c r="J25" s="13" t="s">
        <v>22</v>
      </c>
    </row>
    <row r="26" spans="1:29" x14ac:dyDescent="0.2">
      <c r="A26" s="12" t="s">
        <v>35</v>
      </c>
      <c r="B26" s="237" t="s">
        <v>36</v>
      </c>
      <c r="C26" s="238"/>
      <c r="D26" s="238"/>
      <c r="E26" s="238"/>
      <c r="F26" s="238"/>
      <c r="G26" s="238"/>
      <c r="H26" s="238"/>
      <c r="I26" s="239"/>
      <c r="J26" s="13" t="s">
        <v>22</v>
      </c>
      <c r="AA26" s="18"/>
      <c r="AB26" s="18"/>
      <c r="AC26" s="18"/>
    </row>
    <row r="27" spans="1:29" x14ac:dyDescent="0.2">
      <c r="A27" s="12" t="s">
        <v>37</v>
      </c>
      <c r="B27" s="237" t="s">
        <v>38</v>
      </c>
      <c r="C27" s="238"/>
      <c r="D27" s="238"/>
      <c r="E27" s="238"/>
      <c r="F27" s="238"/>
      <c r="G27" s="238"/>
      <c r="H27" s="238"/>
      <c r="I27" s="239"/>
      <c r="J27" s="3" t="s">
        <v>24</v>
      </c>
      <c r="AA27" s="18"/>
      <c r="AB27" s="18"/>
      <c r="AC27" s="18"/>
    </row>
    <row r="28" spans="1:29" x14ac:dyDescent="0.2">
      <c r="A28" s="12" t="s">
        <v>39</v>
      </c>
      <c r="B28" s="237" t="s">
        <v>40</v>
      </c>
      <c r="C28" s="238"/>
      <c r="D28" s="238"/>
      <c r="E28" s="238"/>
      <c r="F28" s="238"/>
      <c r="G28" s="238"/>
      <c r="H28" s="238"/>
      <c r="I28" s="239"/>
      <c r="J28" s="3" t="s">
        <v>24</v>
      </c>
      <c r="AA28" s="18"/>
      <c r="AB28" s="18"/>
      <c r="AC28" s="18"/>
    </row>
    <row r="29" spans="1:29" ht="13.5" thickBot="1" x14ac:dyDescent="0.25">
      <c r="A29" s="56" t="s">
        <v>41</v>
      </c>
      <c r="B29" s="249" t="s">
        <v>42</v>
      </c>
      <c r="C29" s="250"/>
      <c r="D29" s="250"/>
      <c r="E29" s="250"/>
      <c r="F29" s="250"/>
      <c r="G29" s="250"/>
      <c r="H29" s="250"/>
      <c r="I29" s="251"/>
      <c r="J29" s="55" t="s">
        <v>24</v>
      </c>
      <c r="AA29" s="18"/>
      <c r="AB29" s="18"/>
      <c r="AC29" s="18"/>
    </row>
    <row r="30" spans="1:29" x14ac:dyDescent="0.2">
      <c r="A30" s="236" t="s">
        <v>58</v>
      </c>
      <c r="B30" s="254" t="s">
        <v>59</v>
      </c>
      <c r="C30" s="255"/>
      <c r="D30" s="255"/>
      <c r="E30" s="255"/>
      <c r="F30" s="255"/>
      <c r="G30" s="255"/>
      <c r="H30" s="256"/>
      <c r="I30" s="57"/>
      <c r="J30" s="60"/>
      <c r="K30" s="67" t="s">
        <v>73</v>
      </c>
      <c r="AA30" s="18"/>
      <c r="AB30" s="18"/>
      <c r="AC30" s="18"/>
    </row>
    <row r="31" spans="1:29" x14ac:dyDescent="0.2">
      <c r="A31" s="234"/>
      <c r="B31" s="257" t="s">
        <v>75</v>
      </c>
      <c r="C31" s="258"/>
      <c r="D31" s="258"/>
      <c r="E31" s="258"/>
      <c r="F31" s="258"/>
      <c r="G31" s="258"/>
      <c r="H31" s="259"/>
      <c r="I31" s="58">
        <v>0.18</v>
      </c>
      <c r="J31" s="1" t="s">
        <v>54</v>
      </c>
      <c r="K31" s="62">
        <v>2</v>
      </c>
      <c r="AA31" s="18"/>
      <c r="AB31" s="18"/>
      <c r="AC31" s="18"/>
    </row>
    <row r="32" spans="1:29" x14ac:dyDescent="0.2">
      <c r="A32" s="234"/>
      <c r="B32" s="257" t="s">
        <v>76</v>
      </c>
      <c r="C32" s="258"/>
      <c r="D32" s="258"/>
      <c r="E32" s="258"/>
      <c r="F32" s="258"/>
      <c r="G32" s="258"/>
      <c r="H32" s="259"/>
      <c r="I32" s="58">
        <v>0.14000000000000001</v>
      </c>
      <c r="J32" s="1" t="s">
        <v>54</v>
      </c>
      <c r="K32" s="62">
        <v>2</v>
      </c>
      <c r="AA32" s="18"/>
      <c r="AB32" s="18"/>
      <c r="AC32" s="18"/>
    </row>
    <row r="33" spans="1:29" ht="13.5" thickBot="1" x14ac:dyDescent="0.25">
      <c r="A33" s="234"/>
      <c r="B33" s="265" t="s">
        <v>77</v>
      </c>
      <c r="C33" s="266"/>
      <c r="D33" s="266"/>
      <c r="E33" s="266"/>
      <c r="F33" s="266"/>
      <c r="G33" s="266"/>
      <c r="H33" s="267"/>
      <c r="I33" s="59">
        <v>0.11</v>
      </c>
      <c r="J33" s="61" t="s">
        <v>54</v>
      </c>
      <c r="K33" s="63">
        <v>2</v>
      </c>
      <c r="AA33" s="18"/>
      <c r="AB33" s="18"/>
      <c r="AC33" s="18"/>
    </row>
    <row r="34" spans="1:29" ht="13.5" thickBot="1" x14ac:dyDescent="0.25">
      <c r="A34" s="235"/>
      <c r="B34" s="260" t="s">
        <v>60</v>
      </c>
      <c r="C34" s="261"/>
      <c r="D34" s="261"/>
      <c r="E34" s="261"/>
      <c r="F34" s="261"/>
      <c r="G34" s="261"/>
      <c r="H34" s="262"/>
      <c r="I34" s="64">
        <v>0.01</v>
      </c>
      <c r="J34" s="66" t="s">
        <v>54</v>
      </c>
      <c r="K34" s="65"/>
      <c r="AA34" s="18"/>
      <c r="AB34" s="18"/>
      <c r="AC34" s="18"/>
    </row>
    <row r="35" spans="1:29" x14ac:dyDescent="0.2">
      <c r="A35" s="234" t="s">
        <v>61</v>
      </c>
      <c r="B35" s="270" t="s">
        <v>62</v>
      </c>
      <c r="C35" s="271"/>
      <c r="D35" s="271"/>
      <c r="E35" s="271"/>
      <c r="F35" s="271"/>
      <c r="G35" s="271"/>
      <c r="H35" s="271"/>
      <c r="I35" s="53"/>
      <c r="J35" s="51"/>
      <c r="AA35" s="18"/>
      <c r="AB35" s="18"/>
      <c r="AC35" s="18"/>
    </row>
    <row r="36" spans="1:29" x14ac:dyDescent="0.2">
      <c r="A36" s="234"/>
      <c r="B36" s="270"/>
      <c r="C36" s="271"/>
      <c r="D36" s="271"/>
      <c r="E36" s="271"/>
      <c r="F36" s="271"/>
      <c r="G36" s="271"/>
      <c r="H36" s="271"/>
      <c r="I36" s="53"/>
      <c r="J36" s="51"/>
      <c r="AA36" s="18"/>
      <c r="AB36" s="18"/>
      <c r="AC36" s="18"/>
    </row>
    <row r="37" spans="1:29" ht="13.5" thickBot="1" x14ac:dyDescent="0.25">
      <c r="A37" s="234"/>
      <c r="B37" s="272"/>
      <c r="C37" s="273"/>
      <c r="D37" s="273"/>
      <c r="E37" s="273"/>
      <c r="F37" s="273"/>
      <c r="G37" s="273"/>
      <c r="H37" s="273"/>
      <c r="I37" s="54"/>
      <c r="J37" s="52"/>
      <c r="AA37" s="18"/>
      <c r="AB37" s="18"/>
      <c r="AC37" s="18"/>
    </row>
    <row r="38" spans="1:29" x14ac:dyDescent="0.2">
      <c r="A38" s="234"/>
      <c r="B38" s="263" t="s">
        <v>74</v>
      </c>
      <c r="C38" s="263"/>
      <c r="D38" s="263"/>
      <c r="E38" s="263"/>
      <c r="F38" s="263"/>
      <c r="G38" s="263"/>
      <c r="H38" s="263"/>
      <c r="I38" s="268">
        <v>2</v>
      </c>
      <c r="J38" s="297" t="s">
        <v>54</v>
      </c>
      <c r="AA38" s="18"/>
      <c r="AB38" s="18"/>
      <c r="AC38" s="18"/>
    </row>
    <row r="39" spans="1:29" ht="13.5" thickBot="1" x14ac:dyDescent="0.25">
      <c r="A39" s="234"/>
      <c r="B39" s="264"/>
      <c r="C39" s="264"/>
      <c r="D39" s="264"/>
      <c r="E39" s="264"/>
      <c r="F39" s="264"/>
      <c r="G39" s="264"/>
      <c r="H39" s="264"/>
      <c r="I39" s="269"/>
      <c r="J39" s="298"/>
      <c r="AA39" s="18"/>
      <c r="AB39" s="18"/>
      <c r="AC39" s="18"/>
    </row>
    <row r="40" spans="1:29" x14ac:dyDescent="0.2">
      <c r="A40" s="234"/>
      <c r="B40" s="263" t="s">
        <v>63</v>
      </c>
      <c r="C40" s="263"/>
      <c r="D40" s="263"/>
      <c r="E40" s="263"/>
      <c r="F40" s="263"/>
      <c r="G40" s="263"/>
      <c r="H40" s="263"/>
      <c r="I40" s="163">
        <v>6.25E-2</v>
      </c>
      <c r="J40" s="297" t="s">
        <v>54</v>
      </c>
      <c r="AA40" s="18"/>
      <c r="AB40" s="18"/>
      <c r="AC40" s="18"/>
    </row>
    <row r="41" spans="1:29" ht="13.5" thickBot="1" x14ac:dyDescent="0.25">
      <c r="A41" s="235"/>
      <c r="B41" s="264"/>
      <c r="C41" s="264"/>
      <c r="D41" s="264"/>
      <c r="E41" s="264"/>
      <c r="F41" s="264"/>
      <c r="G41" s="264"/>
      <c r="H41" s="264"/>
      <c r="I41" s="164"/>
      <c r="J41" s="298"/>
      <c r="AA41" s="18"/>
      <c r="AB41" s="18"/>
      <c r="AC41" s="18"/>
    </row>
    <row r="42" spans="1:29" ht="51.75" thickBot="1" x14ac:dyDescent="0.25">
      <c r="A42" s="48" t="s">
        <v>67</v>
      </c>
      <c r="B42" s="294" t="s">
        <v>64</v>
      </c>
      <c r="C42" s="295"/>
      <c r="D42" s="295"/>
      <c r="E42" s="295"/>
      <c r="F42" s="295"/>
      <c r="G42" s="296"/>
      <c r="H42" s="49" t="s">
        <v>64</v>
      </c>
      <c r="I42" s="49" t="s">
        <v>65</v>
      </c>
      <c r="J42" s="50" t="s">
        <v>66</v>
      </c>
      <c r="K42" s="49" t="s">
        <v>55</v>
      </c>
      <c r="L42" s="49" t="s">
        <v>56</v>
      </c>
      <c r="M42" s="49" t="s">
        <v>57</v>
      </c>
      <c r="N42" s="49" t="s">
        <v>117</v>
      </c>
      <c r="O42" s="49" t="s">
        <v>121</v>
      </c>
      <c r="AA42" s="18"/>
      <c r="AB42" s="18"/>
      <c r="AC42" s="18"/>
    </row>
    <row r="43" spans="1:29" ht="13.5" customHeight="1" x14ac:dyDescent="0.2">
      <c r="A43" s="23" t="s">
        <v>43</v>
      </c>
      <c r="B43" s="99" t="s">
        <v>78</v>
      </c>
      <c r="C43" s="100"/>
      <c r="D43" s="100"/>
      <c r="E43" s="100"/>
      <c r="F43" s="100"/>
      <c r="G43" s="101"/>
      <c r="H43" s="29">
        <v>-16.2</v>
      </c>
      <c r="I43" s="24">
        <v>-16.2</v>
      </c>
      <c r="J43" s="283" t="str">
        <f>IF(ABS(AVERAGE(H43:H45) - AVERAGE(I43:I45)) &lt;= $K$32, "Paso", "Fallo")</f>
        <v>Paso</v>
      </c>
      <c r="K43" s="163">
        <f>2*SQRT(_xlfn.STDEV.S(H43:H45)^2+_xlfn.STDEV.S(I43:I45)^2+0.084*$I$34^2+0.084*$I$40^2+0.25*$I$32^2)</f>
        <v>0.44393629422850234</v>
      </c>
      <c r="L43" s="162">
        <f>ABS(AVERAGE(H43:H45)-AVERAGE(I43:I45))</f>
        <v>0.163333333333334</v>
      </c>
      <c r="M43" s="162">
        <f>ABS(K43+L43)</f>
        <v>0.60726962756183633</v>
      </c>
      <c r="N43" s="87">
        <f t="array" ref="N43">AVERAGE(I43:I45-H43:H45)</f>
        <v>-0.163333333333334</v>
      </c>
      <c r="O43" s="81"/>
      <c r="AA43" s="18"/>
      <c r="AB43" s="18"/>
      <c r="AC43" s="18"/>
    </row>
    <row r="44" spans="1:29" ht="13.5" customHeight="1" x14ac:dyDescent="0.2">
      <c r="A44" s="19" t="s">
        <v>45</v>
      </c>
      <c r="B44" s="102"/>
      <c r="C44" s="103"/>
      <c r="D44" s="103"/>
      <c r="E44" s="103"/>
      <c r="F44" s="103"/>
      <c r="G44" s="104"/>
      <c r="H44" s="30">
        <v>-16.2</v>
      </c>
      <c r="I44" s="25">
        <v>-16.600000000000001</v>
      </c>
      <c r="J44" s="284"/>
      <c r="K44" s="163"/>
      <c r="L44" s="163"/>
      <c r="M44" s="163"/>
      <c r="N44" s="88"/>
      <c r="O44" s="81"/>
      <c r="AA44" s="18"/>
      <c r="AB44" s="18"/>
      <c r="AC44" s="18"/>
    </row>
    <row r="45" spans="1:29" ht="13.5" thickBot="1" x14ac:dyDescent="0.25">
      <c r="A45" s="20" t="s">
        <v>100</v>
      </c>
      <c r="B45" s="105"/>
      <c r="C45" s="106"/>
      <c r="D45" s="106"/>
      <c r="E45" s="106"/>
      <c r="F45" s="106"/>
      <c r="G45" s="107"/>
      <c r="H45" s="33">
        <v>-16.2</v>
      </c>
      <c r="I45" s="28">
        <v>-16.29</v>
      </c>
      <c r="J45" s="285"/>
      <c r="K45" s="164"/>
      <c r="L45" s="164"/>
      <c r="M45" s="164"/>
      <c r="N45" s="89"/>
      <c r="O45" s="81"/>
      <c r="AA45" s="18"/>
      <c r="AB45" s="18"/>
      <c r="AC45" s="18"/>
    </row>
    <row r="46" spans="1:29" x14ac:dyDescent="0.2">
      <c r="A46" s="23" t="s">
        <v>43</v>
      </c>
      <c r="B46" s="99" t="s">
        <v>79</v>
      </c>
      <c r="C46" s="100"/>
      <c r="D46" s="100"/>
      <c r="E46" s="100"/>
      <c r="F46" s="100"/>
      <c r="G46" s="100"/>
      <c r="H46" s="32">
        <v>-18.100000000000001</v>
      </c>
      <c r="I46" s="27">
        <v>-16.75</v>
      </c>
      <c r="J46" s="283" t="str">
        <f>IF(ABS(AVERAGE(H46:H48) - AVERAGE(I46:I48)) &lt;= $K$32, "Paso", "Fallo")</f>
        <v>Paso</v>
      </c>
      <c r="K46" s="163">
        <f>2*SQRT(_xlfn.STDEV.S(H46:H48)^2+_xlfn.STDEV.S(I46:I48)^2+0.084*$I$34^2+0.084*$I$40^2+0.25*$I$32^2)</f>
        <v>1.7713307897359736</v>
      </c>
      <c r="L46" s="162">
        <f>ABS(AVERAGE(H46:H48)-AVERAGE(I46:I48))</f>
        <v>1.8666666666666671</v>
      </c>
      <c r="M46" s="162">
        <f>ABS(K46+L46)</f>
        <v>3.6379974564026405</v>
      </c>
      <c r="N46" s="87">
        <f t="array" ref="N46">AVERAGE(I46:I48-H46:H48)</f>
        <v>1.8666666666666671</v>
      </c>
      <c r="O46" s="86"/>
      <c r="AA46" s="18"/>
      <c r="AB46" s="18"/>
      <c r="AC46" s="18"/>
    </row>
    <row r="47" spans="1:29" x14ac:dyDescent="0.2">
      <c r="A47" s="19" t="s">
        <v>71</v>
      </c>
      <c r="B47" s="102"/>
      <c r="C47" s="103"/>
      <c r="D47" s="103"/>
      <c r="E47" s="103"/>
      <c r="F47" s="103"/>
      <c r="G47" s="103"/>
      <c r="H47" s="30">
        <v>-18.2</v>
      </c>
      <c r="I47" s="25">
        <f>-16+0.75</f>
        <v>-15.25</v>
      </c>
      <c r="J47" s="284"/>
      <c r="K47" s="163"/>
      <c r="L47" s="163"/>
      <c r="M47" s="163"/>
      <c r="N47" s="88"/>
      <c r="O47" s="81"/>
      <c r="AA47" s="18"/>
      <c r="AB47" s="18"/>
      <c r="AC47" s="18"/>
    </row>
    <row r="48" spans="1:29" ht="13.5" thickBot="1" x14ac:dyDescent="0.25">
      <c r="A48" s="20" t="s">
        <v>100</v>
      </c>
      <c r="B48" s="105"/>
      <c r="C48" s="106"/>
      <c r="D48" s="106"/>
      <c r="E48" s="106"/>
      <c r="F48" s="106"/>
      <c r="G48" s="106"/>
      <c r="H48" s="31">
        <v>-18.100000000000001</v>
      </c>
      <c r="I48" s="26">
        <v>-16.8</v>
      </c>
      <c r="J48" s="285"/>
      <c r="K48" s="164"/>
      <c r="L48" s="164"/>
      <c r="M48" s="164"/>
      <c r="N48" s="89"/>
      <c r="O48" s="82"/>
      <c r="AA48" s="18"/>
      <c r="AB48" s="18"/>
      <c r="AC48" s="18"/>
    </row>
    <row r="49" spans="1:29" ht="13.5" customHeight="1" x14ac:dyDescent="0.2">
      <c r="A49" s="23" t="s">
        <v>43</v>
      </c>
      <c r="B49" s="108" t="s">
        <v>80</v>
      </c>
      <c r="C49" s="109"/>
      <c r="D49" s="109"/>
      <c r="E49" s="109"/>
      <c r="F49" s="109"/>
      <c r="G49" s="110"/>
      <c r="H49" s="29">
        <v>-16.399999999999999</v>
      </c>
      <c r="I49" s="24">
        <v>-15.73</v>
      </c>
      <c r="J49" s="283" t="str">
        <f>IF(ABS(AVERAGE(H49:H51) - AVERAGE(I49:I51)) &lt;= $K$32, "Paso", "Fallo")</f>
        <v>Paso</v>
      </c>
      <c r="K49" s="163">
        <f>2*SQRT(_xlfn.STDEV.S(H49:H51)^2+_xlfn.STDEV.S(I49:I51)^2+0.084*$I$34^2+0.084*$I$40^2+0.25*$I$31^2)</f>
        <v>0.2315443082147931</v>
      </c>
      <c r="L49" s="162">
        <f>ABS(AVERAGE(H49:H51)-AVERAGE(I49:I51))</f>
        <v>0.6899999999999995</v>
      </c>
      <c r="M49" s="162">
        <f>ABS(K49+L49)</f>
        <v>0.92154430821479261</v>
      </c>
      <c r="N49" s="87">
        <f t="array" ref="N49">AVERAGE(I49:I51-H49:H51)</f>
        <v>0.68999999999999895</v>
      </c>
      <c r="O49" s="81"/>
      <c r="AA49" s="18"/>
      <c r="AB49" s="18"/>
      <c r="AC49" s="18"/>
    </row>
    <row r="50" spans="1:29" ht="13.5" customHeight="1" x14ac:dyDescent="0.2">
      <c r="A50" s="19" t="s">
        <v>46</v>
      </c>
      <c r="B50" s="111"/>
      <c r="C50" s="112"/>
      <c r="D50" s="112"/>
      <c r="E50" s="112"/>
      <c r="F50" s="112"/>
      <c r="G50" s="113"/>
      <c r="H50" s="30">
        <v>-16.5</v>
      </c>
      <c r="I50" s="25">
        <v>-15.8</v>
      </c>
      <c r="J50" s="284"/>
      <c r="K50" s="163"/>
      <c r="L50" s="163"/>
      <c r="M50" s="163"/>
      <c r="N50" s="88"/>
      <c r="O50" s="81"/>
      <c r="AA50" s="18"/>
      <c r="AB50" s="18"/>
      <c r="AC50" s="18"/>
    </row>
    <row r="51" spans="1:29" ht="13.5" thickBot="1" x14ac:dyDescent="0.25">
      <c r="A51" s="20" t="s">
        <v>100</v>
      </c>
      <c r="B51" s="114"/>
      <c r="C51" s="115"/>
      <c r="D51" s="115"/>
      <c r="E51" s="115"/>
      <c r="F51" s="115"/>
      <c r="G51" s="116"/>
      <c r="H51" s="31">
        <v>-16.5</v>
      </c>
      <c r="I51" s="26">
        <v>-15.8</v>
      </c>
      <c r="J51" s="285"/>
      <c r="K51" s="164"/>
      <c r="L51" s="164"/>
      <c r="M51" s="164"/>
      <c r="N51" s="89"/>
      <c r="O51" s="81"/>
      <c r="AA51" s="18"/>
      <c r="AB51" s="18"/>
      <c r="AC51" s="18"/>
    </row>
    <row r="52" spans="1:29" ht="13.5" customHeight="1" x14ac:dyDescent="0.2">
      <c r="A52" s="23" t="s">
        <v>43</v>
      </c>
      <c r="B52" s="117" t="s">
        <v>81</v>
      </c>
      <c r="C52" s="118"/>
      <c r="D52" s="118"/>
      <c r="E52" s="118"/>
      <c r="F52" s="118"/>
      <c r="G52" s="119"/>
      <c r="H52" s="32">
        <v>-19.5</v>
      </c>
      <c r="I52" s="27">
        <v>-17.73</v>
      </c>
      <c r="J52" s="283" t="str">
        <f>IF(ABS(AVERAGE(H52:H54) - AVERAGE(I52:I54)) &lt;= $K$32, "Paso", "Fallo")</f>
        <v>Paso</v>
      </c>
      <c r="K52" s="163">
        <f>2*SQRT(_xlfn.STDEV.S(H52:H54)^2+_xlfn.STDEV.S(I52:I54)^2+0.084*$I$34^2+0.084*$I$40^2+0.25*$I$31^2)</f>
        <v>0.2315443082147931</v>
      </c>
      <c r="L52" s="162">
        <f>ABS(AVERAGE(H52:H54)-AVERAGE(I52:I54))</f>
        <v>1.8133333333333326</v>
      </c>
      <c r="M52" s="162">
        <f>ABS(K52+L52)</f>
        <v>2.0448776415481258</v>
      </c>
      <c r="N52" s="87">
        <f t="array" ref="N52">AVERAGE(I52:I54-H52:H54)</f>
        <v>1.8133333333333337</v>
      </c>
      <c r="O52" s="86"/>
      <c r="AA52" s="18"/>
      <c r="AB52" s="18"/>
      <c r="AC52" s="18"/>
    </row>
    <row r="53" spans="1:29" ht="13.5" customHeight="1" x14ac:dyDescent="0.2">
      <c r="A53" s="19" t="s">
        <v>44</v>
      </c>
      <c r="B53" s="120"/>
      <c r="C53" s="121"/>
      <c r="D53" s="121"/>
      <c r="E53" s="121"/>
      <c r="F53" s="121"/>
      <c r="G53" s="122"/>
      <c r="H53" s="30">
        <v>-19.600000000000001</v>
      </c>
      <c r="I53" s="25">
        <v>-17.73</v>
      </c>
      <c r="J53" s="284"/>
      <c r="K53" s="163"/>
      <c r="L53" s="163"/>
      <c r="M53" s="163"/>
      <c r="N53" s="88"/>
      <c r="O53" s="81"/>
      <c r="AA53" s="18"/>
      <c r="AB53" s="18"/>
      <c r="AC53" s="18"/>
    </row>
    <row r="54" spans="1:29" ht="13.5" thickBot="1" x14ac:dyDescent="0.25">
      <c r="A54" s="20" t="s">
        <v>100</v>
      </c>
      <c r="B54" s="123"/>
      <c r="C54" s="124"/>
      <c r="D54" s="124"/>
      <c r="E54" s="124"/>
      <c r="F54" s="124"/>
      <c r="G54" s="125"/>
      <c r="H54" s="33">
        <v>-19.600000000000001</v>
      </c>
      <c r="I54" s="26">
        <v>-17.8</v>
      </c>
      <c r="J54" s="285"/>
      <c r="K54" s="164"/>
      <c r="L54" s="164"/>
      <c r="M54" s="164"/>
      <c r="N54" s="89"/>
      <c r="O54" s="82"/>
      <c r="AA54" s="18"/>
      <c r="AB54" s="18"/>
      <c r="AC54" s="18"/>
    </row>
    <row r="55" spans="1:29" ht="13.5" customHeight="1" x14ac:dyDescent="0.2">
      <c r="A55" s="73" t="s">
        <v>43</v>
      </c>
      <c r="B55" s="126" t="s">
        <v>82</v>
      </c>
      <c r="C55" s="127"/>
      <c r="D55" s="127"/>
      <c r="E55" s="127"/>
      <c r="F55" s="127"/>
      <c r="G55" s="128"/>
      <c r="H55" s="70">
        <v>-13.8</v>
      </c>
      <c r="I55" s="27">
        <v>-13.84</v>
      </c>
      <c r="J55" s="283" t="str">
        <f>IF(ABS(AVERAGE(H55:H57) - AVERAGE(I55:I57)) &lt;= $K$32, "Paso", "Fallo")</f>
        <v>Paso</v>
      </c>
      <c r="K55" s="163">
        <f>2*SQRT(_xlfn.STDEV.S(H55:H57)^2+_xlfn.STDEV.S(I55:I57)^2+0.084*$I$34^2+0.084*$I$40^2+0.25*$I$31^2)</f>
        <v>2.2924832460311095</v>
      </c>
      <c r="L55" s="162">
        <f>ABS(AVERAGE(H55:H57)-AVERAGE(I55:I57))</f>
        <v>0.62333333333333485</v>
      </c>
      <c r="M55" s="162">
        <f>ABS(K55+L55)</f>
        <v>2.9158165793644444</v>
      </c>
      <c r="N55" s="87">
        <f t="array" ref="N55">AVERAGE(I55:I57-H55:H57)</f>
        <v>-0.62333333333333363</v>
      </c>
      <c r="O55" s="81"/>
    </row>
    <row r="56" spans="1:29" ht="13.5" customHeight="1" x14ac:dyDescent="0.2">
      <c r="A56" s="74" t="s">
        <v>47</v>
      </c>
      <c r="B56" s="129"/>
      <c r="C56" s="130"/>
      <c r="D56" s="130"/>
      <c r="E56" s="130"/>
      <c r="F56" s="130"/>
      <c r="G56" s="131"/>
      <c r="H56" s="71">
        <v>-14.6</v>
      </c>
      <c r="I56" s="25">
        <v>-15.83</v>
      </c>
      <c r="J56" s="284"/>
      <c r="K56" s="163"/>
      <c r="L56" s="163"/>
      <c r="M56" s="163"/>
      <c r="N56" s="88"/>
      <c r="O56" s="81"/>
    </row>
    <row r="57" spans="1:29" ht="13.5" thickBot="1" x14ac:dyDescent="0.25">
      <c r="A57" s="75" t="s">
        <v>100</v>
      </c>
      <c r="B57" s="132"/>
      <c r="C57" s="133"/>
      <c r="D57" s="133"/>
      <c r="E57" s="133"/>
      <c r="F57" s="133"/>
      <c r="G57" s="134"/>
      <c r="H57" s="72">
        <v>-14.7</v>
      </c>
      <c r="I57" s="26">
        <v>-15.3</v>
      </c>
      <c r="J57" s="285"/>
      <c r="K57" s="164"/>
      <c r="L57" s="164"/>
      <c r="M57" s="164"/>
      <c r="N57" s="89"/>
      <c r="O57" s="81"/>
    </row>
    <row r="58" spans="1:29" x14ac:dyDescent="0.2">
      <c r="A58" s="73" t="s">
        <v>43</v>
      </c>
      <c r="B58" s="135" t="s">
        <v>83</v>
      </c>
      <c r="C58" s="136"/>
      <c r="D58" s="136"/>
      <c r="E58" s="136"/>
      <c r="F58" s="136"/>
      <c r="G58" s="137"/>
      <c r="H58" s="27">
        <v>-12.7</v>
      </c>
      <c r="I58" s="79" t="s">
        <v>122</v>
      </c>
      <c r="J58" s="283" t="str">
        <f>IF(ABS(AVERAGE(H58:H60) - AVERAGE(I58:I60)) &lt;= $K$32, "Paso", "Fallo")</f>
        <v>Paso</v>
      </c>
      <c r="K58" s="163">
        <f>2*SQRT(_xlfn.STDEV.S(H58:H60)^2+_xlfn.STDEV.S(I58:I60)^2+0.084*$I$34^2+0.084*$I$40^2+0.25*$I$31^2)</f>
        <v>1.2139794479314725</v>
      </c>
      <c r="L58" s="162">
        <f>ABS(AVERAGE(H58:H60)-AVERAGE(I58:I60))</f>
        <v>1.4000000000000021</v>
      </c>
      <c r="M58" s="162">
        <f>ABS(K58+L58)</f>
        <v>2.6139794479314746</v>
      </c>
      <c r="N58" s="87" t="e">
        <f t="array" ref="N58">AVERAGE(I58:I60-H58:H60)</f>
        <v>#VALUE!</v>
      </c>
      <c r="O58" s="86"/>
    </row>
    <row r="59" spans="1:29" x14ac:dyDescent="0.2">
      <c r="A59" s="74" t="s">
        <v>48</v>
      </c>
      <c r="B59" s="138"/>
      <c r="C59" s="139"/>
      <c r="D59" s="139"/>
      <c r="E59" s="139"/>
      <c r="F59" s="139"/>
      <c r="G59" s="140"/>
      <c r="H59" s="25">
        <v>-12.1</v>
      </c>
      <c r="I59" s="30">
        <v>-14.1</v>
      </c>
      <c r="J59" s="284"/>
      <c r="K59" s="163"/>
      <c r="L59" s="163"/>
      <c r="M59" s="163"/>
      <c r="N59" s="88"/>
      <c r="O59" s="81"/>
    </row>
    <row r="60" spans="1:29" ht="13.5" thickBot="1" x14ac:dyDescent="0.25">
      <c r="A60" s="75" t="s">
        <v>100</v>
      </c>
      <c r="B60" s="141"/>
      <c r="C60" s="142"/>
      <c r="D60" s="142"/>
      <c r="E60" s="142"/>
      <c r="F60" s="142"/>
      <c r="G60" s="143"/>
      <c r="H60" s="26">
        <v>-13.3</v>
      </c>
      <c r="I60" s="31">
        <v>-14.1</v>
      </c>
      <c r="J60" s="285"/>
      <c r="K60" s="164"/>
      <c r="L60" s="164"/>
      <c r="M60" s="164"/>
      <c r="N60" s="89"/>
      <c r="O60" s="82"/>
    </row>
    <row r="61" spans="1:29" x14ac:dyDescent="0.2">
      <c r="A61" s="73" t="s">
        <v>43</v>
      </c>
      <c r="B61" s="144" t="s">
        <v>84</v>
      </c>
      <c r="C61" s="145"/>
      <c r="D61" s="145"/>
      <c r="E61" s="145"/>
      <c r="F61" s="145"/>
      <c r="G61" s="146"/>
      <c r="H61" s="27">
        <v>-17.100000000000001</v>
      </c>
      <c r="I61" s="27">
        <v>-17.29</v>
      </c>
      <c r="J61" s="283" t="str">
        <f>IF(ABS(AVERAGE(H61:H63) - AVERAGE(I61:I63)) &lt;= $K$32, "Paso", "Fallo")</f>
        <v>Paso</v>
      </c>
      <c r="K61" s="163">
        <f>2*SQRT(_xlfn.STDEV.S(H61:H63)^2+_xlfn.STDEV.S(I61:I63)^2+0.084*$I$34^2+0.084*$I$40^2+0.25*$I$31^2)</f>
        <v>0.58754809732196711</v>
      </c>
      <c r="L61" s="162">
        <f>ABS(AVERAGE(H61:H63)-AVERAGE(I61:I63))</f>
        <v>0.17000000000000171</v>
      </c>
      <c r="M61" s="162">
        <f>ABS(K61+L61)</f>
        <v>0.75754809732196882</v>
      </c>
      <c r="N61" s="87">
        <f t="array" ref="N61">AVERAGE(I61:I63-H61:H63)</f>
        <v>0.17000000000000051</v>
      </c>
      <c r="O61" s="81"/>
    </row>
    <row r="62" spans="1:29" x14ac:dyDescent="0.2">
      <c r="A62" s="74" t="s">
        <v>49</v>
      </c>
      <c r="B62" s="147"/>
      <c r="C62" s="148"/>
      <c r="D62" s="148"/>
      <c r="E62" s="148"/>
      <c r="F62" s="148"/>
      <c r="G62" s="149"/>
      <c r="H62" s="25">
        <v>-17.3</v>
      </c>
      <c r="I62" s="25">
        <v>-16.850000000000001</v>
      </c>
      <c r="J62" s="284"/>
      <c r="K62" s="163"/>
      <c r="L62" s="163"/>
      <c r="M62" s="163"/>
      <c r="N62" s="88"/>
      <c r="O62" s="81"/>
    </row>
    <row r="63" spans="1:29" ht="13.5" thickBot="1" x14ac:dyDescent="0.25">
      <c r="A63" s="75" t="s">
        <v>100</v>
      </c>
      <c r="B63" s="150"/>
      <c r="C63" s="151"/>
      <c r="D63" s="151"/>
      <c r="E63" s="151"/>
      <c r="F63" s="151"/>
      <c r="G63" s="152"/>
      <c r="H63" s="26">
        <v>-17.100000000000001</v>
      </c>
      <c r="I63" s="26">
        <v>-16.850000000000001</v>
      </c>
      <c r="J63" s="285"/>
      <c r="K63" s="164"/>
      <c r="L63" s="164"/>
      <c r="M63" s="164"/>
      <c r="N63" s="89"/>
      <c r="O63" s="81"/>
    </row>
    <row r="64" spans="1:29" ht="13.5" customHeight="1" x14ac:dyDescent="0.2">
      <c r="A64" s="73" t="s">
        <v>43</v>
      </c>
      <c r="B64" s="126" t="s">
        <v>85</v>
      </c>
      <c r="C64" s="127"/>
      <c r="D64" s="127"/>
      <c r="E64" s="127"/>
      <c r="F64" s="127"/>
      <c r="G64" s="128"/>
      <c r="H64" s="27">
        <v>3.1</v>
      </c>
      <c r="I64" s="27">
        <v>3.74</v>
      </c>
      <c r="J64" s="283" t="str">
        <f>IF(ABS(AVERAGE(H64:H66) - AVERAGE(I64:I66)) &lt;= $K$32, "Paso", "Fallo")</f>
        <v>Paso</v>
      </c>
      <c r="K64" s="163">
        <f>2*SQRT(_xlfn.STDEV.S(H64:H66)^2+_xlfn.STDEV.S(I64:I66)^2+0.084*$I$34^2+0.084*$I$40^2+0.25*$I$31^2)</f>
        <v>0.341973829408041</v>
      </c>
      <c r="L64" s="162">
        <f>ABS(AVERAGE(H64:H66)-AVERAGE(I64:I66))</f>
        <v>0.85999999999999988</v>
      </c>
      <c r="M64" s="162">
        <f>ABS(K64+L64)</f>
        <v>1.2019738294080409</v>
      </c>
      <c r="N64" s="87">
        <f t="array" ref="N64">AVERAGE(I64:I66-H64:H66)</f>
        <v>0.86</v>
      </c>
      <c r="O64" s="86"/>
    </row>
    <row r="65" spans="1:16" ht="13.5" customHeight="1" x14ac:dyDescent="0.2">
      <c r="A65" s="74" t="s">
        <v>50</v>
      </c>
      <c r="B65" s="129"/>
      <c r="C65" s="130"/>
      <c r="D65" s="130"/>
      <c r="E65" s="130"/>
      <c r="F65" s="130"/>
      <c r="G65" s="131"/>
      <c r="H65" s="25">
        <v>2.9</v>
      </c>
      <c r="I65" s="25">
        <v>3.92</v>
      </c>
      <c r="J65" s="284"/>
      <c r="K65" s="163"/>
      <c r="L65" s="163"/>
      <c r="M65" s="163"/>
      <c r="N65" s="88"/>
      <c r="O65" s="81"/>
    </row>
    <row r="66" spans="1:16" ht="13.5" thickBot="1" x14ac:dyDescent="0.25">
      <c r="A66" s="75" t="s">
        <v>100</v>
      </c>
      <c r="B66" s="132"/>
      <c r="C66" s="133"/>
      <c r="D66" s="133"/>
      <c r="E66" s="133"/>
      <c r="F66" s="133"/>
      <c r="G66" s="134"/>
      <c r="H66" s="26">
        <v>3</v>
      </c>
      <c r="I66" s="26">
        <v>3.92</v>
      </c>
      <c r="J66" s="285"/>
      <c r="K66" s="164"/>
      <c r="L66" s="164"/>
      <c r="M66" s="164"/>
      <c r="N66" s="89"/>
      <c r="O66" s="82"/>
    </row>
    <row r="67" spans="1:16" ht="13.5" customHeight="1" x14ac:dyDescent="0.2">
      <c r="A67" s="73" t="s">
        <v>43</v>
      </c>
      <c r="B67" s="153" t="s">
        <v>86</v>
      </c>
      <c r="C67" s="154"/>
      <c r="D67" s="154"/>
      <c r="E67" s="154"/>
      <c r="F67" s="154"/>
      <c r="G67" s="155"/>
      <c r="H67" s="27">
        <v>35.4</v>
      </c>
      <c r="I67" s="27">
        <v>36.49</v>
      </c>
      <c r="J67" s="283" t="str">
        <f>IF(ABS(AVERAGE(H67:H69) - AVERAGE(I67:I69)) &lt;= $K$32, "Paso", "Fallo")</f>
        <v>Paso</v>
      </c>
      <c r="K67" s="163">
        <f>2*SQRT(_xlfn.STDEV.S(H67:H69)^2+_xlfn.STDEV.S(I67:I69)^2+0.084*$I$34^2+0.084*$I$40^2+0.25*$I$31^2)</f>
        <v>0.18514705866778844</v>
      </c>
      <c r="L67" s="162">
        <f>ABS(AVERAGE(H67:H69)-AVERAGE(I67:I69))</f>
        <v>1.076666666666668</v>
      </c>
      <c r="M67" s="162">
        <f>ABS(K67+L67)</f>
        <v>1.2618137253344563</v>
      </c>
      <c r="N67" s="87">
        <f t="array" ref="N67">AVERAGE(I67:I69-H67:H69)</f>
        <v>1.076666666666668</v>
      </c>
      <c r="O67" s="81"/>
    </row>
    <row r="68" spans="1:16" x14ac:dyDescent="0.2">
      <c r="A68" s="80" t="s">
        <v>120</v>
      </c>
      <c r="B68" s="156"/>
      <c r="C68" s="157"/>
      <c r="D68" s="157"/>
      <c r="E68" s="157"/>
      <c r="F68" s="157"/>
      <c r="G68" s="158"/>
      <c r="H68" s="25">
        <v>35.4</v>
      </c>
      <c r="I68" s="30">
        <v>36.47</v>
      </c>
      <c r="J68" s="284"/>
      <c r="K68" s="163"/>
      <c r="L68" s="163"/>
      <c r="M68" s="163"/>
      <c r="N68" s="88"/>
      <c r="O68" s="81"/>
    </row>
    <row r="69" spans="1:16" ht="13.5" thickBot="1" x14ac:dyDescent="0.25">
      <c r="A69" s="75" t="s">
        <v>100</v>
      </c>
      <c r="B69" s="159"/>
      <c r="C69" s="160"/>
      <c r="D69" s="160"/>
      <c r="E69" s="160"/>
      <c r="F69" s="160"/>
      <c r="G69" s="161"/>
      <c r="H69" s="26">
        <v>35.4</v>
      </c>
      <c r="I69" s="31">
        <v>36.47</v>
      </c>
      <c r="J69" s="285"/>
      <c r="K69" s="164"/>
      <c r="L69" s="164"/>
      <c r="M69" s="164"/>
      <c r="N69" s="89"/>
      <c r="O69" s="81"/>
    </row>
    <row r="70" spans="1:16" ht="13.5" customHeight="1" x14ac:dyDescent="0.2">
      <c r="A70" s="73" t="s">
        <v>43</v>
      </c>
      <c r="B70" s="126" t="s">
        <v>87</v>
      </c>
      <c r="C70" s="127"/>
      <c r="D70" s="127"/>
      <c r="E70" s="127"/>
      <c r="F70" s="127"/>
      <c r="G70" s="128"/>
      <c r="H70" s="32">
        <v>35</v>
      </c>
      <c r="I70" s="32">
        <v>35.29</v>
      </c>
      <c r="J70" s="283" t="str">
        <f>IF(ABS(AVERAGE(H70:H72) - AVERAGE(I70:I72)) &lt;= $K$32, "Paso", "Fallo")</f>
        <v>Paso</v>
      </c>
      <c r="K70" s="163">
        <f>2*SQRT(_xlfn.STDEV.S(H70:H72)^2+_xlfn.STDEV.S(I70:I72)^2+0.084*$I$34^2+0.084*$I$40^2+0.25*$I$31^2)</f>
        <v>0.19047160768296434</v>
      </c>
      <c r="L70" s="162">
        <f>ABS(AVERAGE(H70:H72)-AVERAGE(I70:I72))</f>
        <v>0.26333333333332831</v>
      </c>
      <c r="M70" s="162">
        <f>ABS(K70+L70)</f>
        <v>0.45380494101629265</v>
      </c>
      <c r="N70" s="87">
        <f t="array" ref="N70">AVERAGE(I70:I72-H70:H72)</f>
        <v>0.26333333333333303</v>
      </c>
      <c r="O70" s="86"/>
    </row>
    <row r="71" spans="1:16" ht="13.5" customHeight="1" x14ac:dyDescent="0.2">
      <c r="A71" s="74" t="s">
        <v>88</v>
      </c>
      <c r="B71" s="129"/>
      <c r="C71" s="130"/>
      <c r="D71" s="130"/>
      <c r="E71" s="130"/>
      <c r="F71" s="130"/>
      <c r="G71" s="131"/>
      <c r="H71" s="30">
        <v>35</v>
      </c>
      <c r="I71" s="30">
        <v>35.26</v>
      </c>
      <c r="J71" s="284"/>
      <c r="K71" s="163"/>
      <c r="L71" s="163"/>
      <c r="M71" s="163"/>
      <c r="N71" s="88"/>
      <c r="O71" s="81"/>
    </row>
    <row r="72" spans="1:16" ht="13.5" thickBot="1" x14ac:dyDescent="0.25">
      <c r="A72" s="75" t="s">
        <v>100</v>
      </c>
      <c r="B72" s="132"/>
      <c r="C72" s="133"/>
      <c r="D72" s="133"/>
      <c r="E72" s="133"/>
      <c r="F72" s="133"/>
      <c r="G72" s="134"/>
      <c r="H72" s="31">
        <v>35</v>
      </c>
      <c r="I72" s="31">
        <v>35.24</v>
      </c>
      <c r="J72" s="285"/>
      <c r="K72" s="164"/>
      <c r="L72" s="164"/>
      <c r="M72" s="164"/>
      <c r="N72" s="89"/>
      <c r="O72" s="82"/>
    </row>
    <row r="73" spans="1:16" x14ac:dyDescent="0.2">
      <c r="A73" s="73" t="s">
        <v>43</v>
      </c>
      <c r="B73" s="90" t="s">
        <v>90</v>
      </c>
      <c r="C73" s="91"/>
      <c r="D73" s="91"/>
      <c r="E73" s="91"/>
      <c r="F73" s="91"/>
      <c r="G73" s="92"/>
      <c r="H73" s="35">
        <v>20.399999999999999</v>
      </c>
      <c r="I73" s="34">
        <v>20.3</v>
      </c>
      <c r="J73" s="283" t="str">
        <f>IF(ABS(AVERAGE(H73:H75) - AVERAGE(I73:I75)) &lt;= $K$32, "Paso", "Fallo")</f>
        <v>Paso</v>
      </c>
      <c r="K73" s="163">
        <f>2*SQRT(_xlfn.STDEV.S(H73:H75)^2+_xlfn.STDEV.S(I73:I75)^2+0.084*$I$34^2+0.084*$I$40^2+0.25*$I$31^2)</f>
        <v>0.21697795586956009</v>
      </c>
      <c r="L73" s="162">
        <f>ABS(AVERAGE(H73:H75)-AVERAGE(I73:I75))</f>
        <v>6.666666666666643E-2</v>
      </c>
      <c r="M73" s="162">
        <f>ABS(K73+L73)</f>
        <v>0.28364462253622652</v>
      </c>
      <c r="N73" s="87">
        <f t="array" ref="N73">AVERAGE(I73:I75-H73:H75)</f>
        <v>-6.666666666666525E-2</v>
      </c>
      <c r="O73" s="81"/>
    </row>
    <row r="74" spans="1:16" x14ac:dyDescent="0.2">
      <c r="A74" s="74" t="s">
        <v>89</v>
      </c>
      <c r="B74" s="93"/>
      <c r="C74" s="94"/>
      <c r="D74" s="94"/>
      <c r="E74" s="94"/>
      <c r="F74" s="94"/>
      <c r="G74" s="95"/>
      <c r="H74" s="35">
        <v>20.399999999999999</v>
      </c>
      <c r="I74" s="34">
        <v>20.3</v>
      </c>
      <c r="J74" s="284"/>
      <c r="K74" s="163"/>
      <c r="L74" s="163"/>
      <c r="M74" s="163"/>
      <c r="N74" s="88"/>
      <c r="O74" s="81"/>
    </row>
    <row r="75" spans="1:16" ht="13.5" thickBot="1" x14ac:dyDescent="0.25">
      <c r="A75" s="75" t="s">
        <v>100</v>
      </c>
      <c r="B75" s="96"/>
      <c r="C75" s="97"/>
      <c r="D75" s="97"/>
      <c r="E75" s="97"/>
      <c r="F75" s="97"/>
      <c r="G75" s="98"/>
      <c r="H75" s="35">
        <v>20.399999999999999</v>
      </c>
      <c r="I75" s="34">
        <v>20.399999999999999</v>
      </c>
      <c r="J75" s="285"/>
      <c r="K75" s="164"/>
      <c r="L75" s="164"/>
      <c r="M75" s="164"/>
      <c r="N75" s="89"/>
      <c r="O75" s="81"/>
    </row>
    <row r="76" spans="1:16" x14ac:dyDescent="0.2">
      <c r="A76" s="73" t="s">
        <v>43</v>
      </c>
      <c r="B76" s="90" t="s">
        <v>96</v>
      </c>
      <c r="C76" s="91"/>
      <c r="D76" s="91"/>
      <c r="E76" s="91"/>
      <c r="F76" s="91"/>
      <c r="G76" s="92"/>
      <c r="H76" s="32">
        <v>-18.2</v>
      </c>
      <c r="I76" s="32">
        <v>-19.95</v>
      </c>
      <c r="J76" s="283" t="str">
        <f>IF(ABS(AVERAGE(H76:H78) - AVERAGE(I76:I78)) &lt;= $K$32, "Paso", "Fallo")</f>
        <v>Paso</v>
      </c>
      <c r="K76" s="163">
        <f>2*SQRT(_xlfn.STDEV.S(H76:H78)^2+_xlfn.STDEV.S(I76:I78)^2+0.084*$I$34^2+0.084*$I$40^2+0.25*$I$32^2)</f>
        <v>1.0106826570854641</v>
      </c>
      <c r="L76" s="162">
        <f>ABS(AVERAGE(H76:H78)-AVERAGE(I76:I78))</f>
        <v>1.0033333333333339</v>
      </c>
      <c r="M76" s="162">
        <f>ABS(K76+L76)</f>
        <v>2.0140159904187982</v>
      </c>
      <c r="N76" s="87">
        <f t="array" ref="N76">AVERAGE(I76:I78-H76:H78)</f>
        <v>-1.0033333333333327</v>
      </c>
      <c r="O76" s="86"/>
    </row>
    <row r="77" spans="1:16" x14ac:dyDescent="0.2">
      <c r="A77" s="74" t="s">
        <v>45</v>
      </c>
      <c r="B77" s="93"/>
      <c r="C77" s="94"/>
      <c r="D77" s="94"/>
      <c r="E77" s="94"/>
      <c r="F77" s="94"/>
      <c r="G77" s="95"/>
      <c r="H77" s="30">
        <v>-18.600000000000001</v>
      </c>
      <c r="I77" s="30">
        <v>-19.43</v>
      </c>
      <c r="J77" s="284"/>
      <c r="K77" s="163"/>
      <c r="L77" s="163"/>
      <c r="M77" s="163"/>
      <c r="N77" s="88"/>
      <c r="O77" s="81"/>
    </row>
    <row r="78" spans="1:16" ht="13.5" thickBot="1" x14ac:dyDescent="0.25">
      <c r="A78" s="75" t="s">
        <v>99</v>
      </c>
      <c r="B78" s="96"/>
      <c r="C78" s="97"/>
      <c r="D78" s="97"/>
      <c r="E78" s="97"/>
      <c r="F78" s="97"/>
      <c r="G78" s="98"/>
      <c r="H78" s="31">
        <v>-19</v>
      </c>
      <c r="I78" s="31">
        <v>-19.43</v>
      </c>
      <c r="J78" s="285"/>
      <c r="K78" s="164"/>
      <c r="L78" s="164"/>
      <c r="M78" s="164"/>
      <c r="N78" s="89"/>
      <c r="O78" s="82"/>
    </row>
    <row r="79" spans="1:16" x14ac:dyDescent="0.2">
      <c r="A79" s="76" t="s">
        <v>43</v>
      </c>
      <c r="B79" s="144" t="s">
        <v>97</v>
      </c>
      <c r="C79" s="145"/>
      <c r="D79" s="145"/>
      <c r="E79" s="145"/>
      <c r="F79" s="145"/>
      <c r="G79" s="146"/>
      <c r="H79" s="27">
        <v>-20.399999999999999</v>
      </c>
      <c r="I79" s="27">
        <v>-20.99</v>
      </c>
      <c r="J79" s="283" t="str">
        <f>IF(ABS(AVERAGE(H79:H81) - AVERAGE(I79:I81)) &lt;= $K$32, "Paso", "Fallo")</f>
        <v>Paso</v>
      </c>
      <c r="K79" s="163">
        <f>2*SQRT(_xlfn.STDEV.S(H79:H81)^2+_xlfn.STDEV.S(I79:I81)^2+0.084*$I$34^2+0.084*$I$40^2+0.25*$I$31^2)</f>
        <v>0.84333431488744048</v>
      </c>
      <c r="L79" s="162">
        <f>ABS(AVERAGE(H79:H81)-AVERAGE(I79:I81))</f>
        <v>6.3333333333332575E-2</v>
      </c>
      <c r="M79" s="162">
        <f>ABS(K79+L79)</f>
        <v>0.90666764822077306</v>
      </c>
      <c r="N79" s="87">
        <f t="array" ref="N79">AVERAGE(I79:I81-H79:H81)</f>
        <v>-6.3333333333332575E-2</v>
      </c>
      <c r="O79" s="81"/>
    </row>
    <row r="80" spans="1:16" x14ac:dyDescent="0.2">
      <c r="A80" s="74" t="s">
        <v>71</v>
      </c>
      <c r="B80" s="147"/>
      <c r="C80" s="148"/>
      <c r="D80" s="148"/>
      <c r="E80" s="148"/>
      <c r="F80" s="148"/>
      <c r="G80" s="149"/>
      <c r="H80" s="25">
        <v>-20.8</v>
      </c>
      <c r="I80" s="25">
        <v>-20.399999999999999</v>
      </c>
      <c r="J80" s="284"/>
      <c r="K80" s="163"/>
      <c r="L80" s="163"/>
      <c r="M80" s="163"/>
      <c r="N80" s="88"/>
      <c r="O80" s="84"/>
      <c r="P80" s="77"/>
    </row>
    <row r="81" spans="1:16" ht="13.5" thickBot="1" x14ac:dyDescent="0.25">
      <c r="A81" s="75" t="s">
        <v>99</v>
      </c>
      <c r="B81" s="150"/>
      <c r="C81" s="151"/>
      <c r="D81" s="151"/>
      <c r="E81" s="151"/>
      <c r="F81" s="151"/>
      <c r="G81" s="152"/>
      <c r="H81" s="26">
        <v>-20.399999999999999</v>
      </c>
      <c r="I81" s="26">
        <v>-20.399999999999999</v>
      </c>
      <c r="J81" s="285"/>
      <c r="K81" s="164"/>
      <c r="L81" s="164"/>
      <c r="M81" s="164"/>
      <c r="N81" s="89"/>
      <c r="O81" s="84"/>
      <c r="P81" s="77"/>
    </row>
    <row r="82" spans="1:16" x14ac:dyDescent="0.2">
      <c r="A82" s="73" t="s">
        <v>43</v>
      </c>
      <c r="B82" s="90" t="s">
        <v>98</v>
      </c>
      <c r="C82" s="91"/>
      <c r="D82" s="91"/>
      <c r="E82" s="91"/>
      <c r="F82" s="91"/>
      <c r="G82" s="92"/>
      <c r="H82" s="32">
        <v>2.06</v>
      </c>
      <c r="I82" s="27">
        <v>2.41</v>
      </c>
      <c r="J82" s="283" t="str">
        <f>IF(ABS(AVERAGE(H82:H84) - AVERAGE(I82:I84)) &lt;= $K$32, "Paso", "Fallo")</f>
        <v>Paso</v>
      </c>
      <c r="K82" s="163">
        <f>2*SQRT(_xlfn.STDEV.S(H82:H84)^2+_xlfn.STDEV.S(I82:I84)^2+0.084*$I$34^2+0.084*$I$40^2+0.25*$I$31^2)</f>
        <v>0.48895749644865144</v>
      </c>
      <c r="L82" s="162">
        <f>ABS(AVERAGE(H82:H84)-AVERAGE(I82:I84))</f>
        <v>0.6333333333333333</v>
      </c>
      <c r="M82" s="162">
        <f>ABS(K82+L82)</f>
        <v>1.1222908297819847</v>
      </c>
      <c r="N82" s="87">
        <f t="array" ref="N82">AVERAGE(I82:I84-H82:H84)</f>
        <v>0.6333333333333333</v>
      </c>
      <c r="O82" s="83"/>
      <c r="P82" s="78"/>
    </row>
    <row r="83" spans="1:16" x14ac:dyDescent="0.2">
      <c r="A83" s="74" t="s">
        <v>50</v>
      </c>
      <c r="B83" s="93"/>
      <c r="C83" s="94"/>
      <c r="D83" s="94"/>
      <c r="E83" s="94"/>
      <c r="F83" s="94"/>
      <c r="G83" s="95"/>
      <c r="H83" s="30">
        <v>2.04</v>
      </c>
      <c r="I83" s="25">
        <v>2.8</v>
      </c>
      <c r="J83" s="284"/>
      <c r="K83" s="163"/>
      <c r="L83" s="163"/>
      <c r="M83" s="163"/>
      <c r="N83" s="88"/>
      <c r="O83" s="84"/>
      <c r="P83" s="78"/>
    </row>
    <row r="84" spans="1:16" ht="13.5" thickBot="1" x14ac:dyDescent="0.25">
      <c r="A84" s="75" t="s">
        <v>99</v>
      </c>
      <c r="B84" s="96"/>
      <c r="C84" s="97"/>
      <c r="D84" s="97"/>
      <c r="E84" s="97"/>
      <c r="F84" s="97"/>
      <c r="G84" s="98"/>
      <c r="H84" s="31">
        <v>2.0099999999999998</v>
      </c>
      <c r="I84" s="26">
        <v>2.8</v>
      </c>
      <c r="J84" s="285"/>
      <c r="K84" s="164"/>
      <c r="L84" s="164"/>
      <c r="M84" s="164"/>
      <c r="N84" s="89"/>
      <c r="O84" s="85"/>
      <c r="P84" s="78"/>
    </row>
    <row r="85" spans="1:16" x14ac:dyDescent="0.2">
      <c r="A85" s="76" t="s">
        <v>43</v>
      </c>
      <c r="B85" s="144" t="s">
        <v>91</v>
      </c>
      <c r="C85" s="145"/>
      <c r="D85" s="145"/>
      <c r="E85" s="145"/>
      <c r="F85" s="145"/>
      <c r="G85" s="146"/>
      <c r="H85" s="32">
        <v>4.41</v>
      </c>
      <c r="I85" s="27">
        <v>4.28</v>
      </c>
      <c r="J85" s="283" t="str">
        <f>IF(ABS(AVERAGE(H85:H87) - AVERAGE(I85:I87)) &lt;= $K$32, "Paso", "Fallo")</f>
        <v>Paso</v>
      </c>
      <c r="K85" s="163">
        <f>2*SQRT(_xlfn.STDEV.S(H85:H87)^2+_xlfn.STDEV.S(I85:I87)^2+0.084*$I$34^2+0.084*$I$40^2+0.25*$I$31^2)</f>
        <v>0.43437245922518336</v>
      </c>
      <c r="L85" s="162">
        <f>ABS(AVERAGE(H85:H87)-AVERAGE(I85:I87))</f>
        <v>0.10666666666666647</v>
      </c>
      <c r="M85" s="162">
        <f>ABS(K85+L85)</f>
        <v>0.54103912589184988</v>
      </c>
      <c r="N85" s="87">
        <f t="array" ref="N85">AVERAGE(I85:I87-H85:H87)</f>
        <v>0.10666666666666676</v>
      </c>
      <c r="O85" s="84"/>
      <c r="P85" s="78"/>
    </row>
    <row r="86" spans="1:16" ht="13.5" customHeight="1" x14ac:dyDescent="0.2">
      <c r="A86" s="74" t="s">
        <v>70</v>
      </c>
      <c r="B86" s="147"/>
      <c r="C86" s="148"/>
      <c r="D86" s="148"/>
      <c r="E86" s="148"/>
      <c r="F86" s="148"/>
      <c r="G86" s="149"/>
      <c r="H86" s="30">
        <v>4.08</v>
      </c>
      <c r="I86" s="25">
        <v>4.29</v>
      </c>
      <c r="J86" s="284"/>
      <c r="K86" s="163"/>
      <c r="L86" s="163"/>
      <c r="M86" s="163"/>
      <c r="N86" s="88"/>
      <c r="O86" s="84"/>
      <c r="P86" s="78"/>
    </row>
    <row r="87" spans="1:16" ht="13.5" thickBot="1" x14ac:dyDescent="0.25">
      <c r="A87" s="75" t="s">
        <v>99</v>
      </c>
      <c r="B87" s="150"/>
      <c r="C87" s="151"/>
      <c r="D87" s="151"/>
      <c r="E87" s="151"/>
      <c r="F87" s="151"/>
      <c r="G87" s="152"/>
      <c r="H87" s="31">
        <v>4.0599999999999996</v>
      </c>
      <c r="I87" s="26">
        <v>4.3</v>
      </c>
      <c r="J87" s="285"/>
      <c r="K87" s="164"/>
      <c r="L87" s="164"/>
      <c r="M87" s="164"/>
      <c r="N87" s="89"/>
      <c r="O87" s="84"/>
      <c r="P87" s="78"/>
    </row>
    <row r="88" spans="1:16" x14ac:dyDescent="0.2">
      <c r="A88" s="73" t="s">
        <v>43</v>
      </c>
      <c r="B88" s="144" t="s">
        <v>92</v>
      </c>
      <c r="C88" s="145"/>
      <c r="D88" s="145"/>
      <c r="E88" s="145"/>
      <c r="F88" s="145"/>
      <c r="G88" s="146"/>
      <c r="H88" s="32">
        <v>4.6100000000000003</v>
      </c>
      <c r="I88" s="27">
        <v>4.7</v>
      </c>
      <c r="J88" s="283" t="str">
        <f>IF(ABS(AVERAGE(H88:H90) - AVERAGE(I88:I90)) &lt;= $K$32, "Paso", "Fallo")</f>
        <v>Paso</v>
      </c>
      <c r="K88" s="163">
        <f>2*SQRT(_xlfn.STDEV.S(H88:H90)^2+_xlfn.STDEV.S(I88:I90)^2+0.084*$I$34^2+0.084*$I$40^2+0.25*$I$33^2)</f>
        <v>0.16964502154007696</v>
      </c>
      <c r="L88" s="162">
        <f>ABS(AVERAGE(H88:H90)-AVERAGE(I88:I90))</f>
        <v>0.1033333333333335</v>
      </c>
      <c r="M88" s="162">
        <f>ABS(K88+L88)</f>
        <v>0.27297835487341049</v>
      </c>
      <c r="N88" s="87">
        <f t="array" ref="N88">AVERAGE(I88:I90-H88:H90)</f>
        <v>0.10333333333333321</v>
      </c>
      <c r="O88" s="83"/>
      <c r="P88" s="78"/>
    </row>
    <row r="89" spans="1:16" ht="13.5" customHeight="1" x14ac:dyDescent="0.2">
      <c r="A89" s="74" t="s">
        <v>51</v>
      </c>
      <c r="B89" s="147"/>
      <c r="C89" s="148"/>
      <c r="D89" s="148"/>
      <c r="E89" s="148"/>
      <c r="F89" s="148"/>
      <c r="G89" s="149"/>
      <c r="H89" s="30">
        <v>4.66</v>
      </c>
      <c r="I89" s="25">
        <v>4.8</v>
      </c>
      <c r="J89" s="284"/>
      <c r="K89" s="163"/>
      <c r="L89" s="163"/>
      <c r="M89" s="163"/>
      <c r="N89" s="88"/>
      <c r="O89" s="84"/>
      <c r="P89" s="78"/>
    </row>
    <row r="90" spans="1:16" ht="13.5" thickBot="1" x14ac:dyDescent="0.25">
      <c r="A90" s="75" t="s">
        <v>99</v>
      </c>
      <c r="B90" s="150"/>
      <c r="C90" s="151"/>
      <c r="D90" s="151"/>
      <c r="E90" s="151"/>
      <c r="F90" s="151"/>
      <c r="G90" s="152"/>
      <c r="H90" s="31">
        <v>4.68</v>
      </c>
      <c r="I90" s="26">
        <v>4.76</v>
      </c>
      <c r="J90" s="285"/>
      <c r="K90" s="164"/>
      <c r="L90" s="164"/>
      <c r="M90" s="164"/>
      <c r="N90" s="89"/>
      <c r="O90" s="85"/>
      <c r="P90" s="78"/>
    </row>
    <row r="91" spans="1:16" x14ac:dyDescent="0.2">
      <c r="A91" s="73" t="s">
        <v>43</v>
      </c>
      <c r="B91" s="90" t="s">
        <v>93</v>
      </c>
      <c r="C91" s="91"/>
      <c r="D91" s="91"/>
      <c r="E91" s="91"/>
      <c r="F91" s="91"/>
      <c r="G91" s="92"/>
      <c r="H91" s="32">
        <v>4</v>
      </c>
      <c r="I91" s="27">
        <v>3.5</v>
      </c>
      <c r="J91" s="283" t="str">
        <f>IF(ABS(AVERAGE(H91:H93) - AVERAGE(I91:I93)) &lt;= $K$32, "Paso", "Fallo")</f>
        <v>Paso</v>
      </c>
      <c r="K91" s="163">
        <f>2*SQRT(_xlfn.STDEV.S(H91:H93)^2+_xlfn.STDEV.S(I91:I93)^2+0.084*$I$34^2+0.084*$I$40^2+0.25*$I$33^2)</f>
        <v>0.96897511147947779</v>
      </c>
      <c r="L91" s="162">
        <f>ABS(AVERAGE(H91:H93)-AVERAGE(I91:I93))</f>
        <v>6.6666666666663765E-3</v>
      </c>
      <c r="M91" s="162">
        <f>ABS(K91+L91)</f>
        <v>0.97564177814614417</v>
      </c>
      <c r="N91" s="87">
        <f t="array" ref="N91">AVERAGE(I91:I93-H91:H93)</f>
        <v>6.6666666666665248E-3</v>
      </c>
      <c r="O91" s="84"/>
      <c r="P91" s="78"/>
    </row>
    <row r="92" spans="1:16" ht="13.5" customHeight="1" x14ac:dyDescent="0.2">
      <c r="A92" s="74" t="s">
        <v>52</v>
      </c>
      <c r="B92" s="93"/>
      <c r="C92" s="94"/>
      <c r="D92" s="94"/>
      <c r="E92" s="94"/>
      <c r="F92" s="94"/>
      <c r="G92" s="95"/>
      <c r="H92" s="30">
        <v>3.7</v>
      </c>
      <c r="I92" s="25">
        <v>4.21</v>
      </c>
      <c r="J92" s="284"/>
      <c r="K92" s="163"/>
      <c r="L92" s="163"/>
      <c r="M92" s="163"/>
      <c r="N92" s="88"/>
      <c r="O92" s="84"/>
      <c r="P92" s="78"/>
    </row>
    <row r="93" spans="1:16" ht="13.5" thickBot="1" x14ac:dyDescent="0.25">
      <c r="A93" s="75" t="s">
        <v>99</v>
      </c>
      <c r="B93" s="96"/>
      <c r="C93" s="97"/>
      <c r="D93" s="97"/>
      <c r="E93" s="97"/>
      <c r="F93" s="97"/>
      <c r="G93" s="98"/>
      <c r="H93" s="31">
        <v>4.2</v>
      </c>
      <c r="I93" s="26">
        <v>4.21</v>
      </c>
      <c r="J93" s="285"/>
      <c r="K93" s="164"/>
      <c r="L93" s="164"/>
      <c r="M93" s="164"/>
      <c r="N93" s="89"/>
      <c r="O93" s="84"/>
      <c r="P93" s="78"/>
    </row>
    <row r="94" spans="1:16" x14ac:dyDescent="0.2">
      <c r="A94" s="73" t="s">
        <v>43</v>
      </c>
      <c r="B94" s="90" t="s">
        <v>94</v>
      </c>
      <c r="C94" s="91"/>
      <c r="D94" s="91"/>
      <c r="E94" s="91"/>
      <c r="F94" s="91"/>
      <c r="G94" s="92"/>
      <c r="H94" s="32">
        <v>5.2</v>
      </c>
      <c r="I94" s="27">
        <v>4.8600000000000003</v>
      </c>
      <c r="J94" s="283" t="str">
        <f>IF(ABS(AVERAGE(H94:H96) - AVERAGE(I94:I96)) &lt;= $K$32, "Paso", "Fallo")</f>
        <v>Paso</v>
      </c>
      <c r="K94" s="163">
        <f>2*SQRT(_xlfn.STDEV.S(H94:H96)^2+_xlfn.STDEV.S(I94:I96)^2+0.084*$I$34^2+0.084*$I$40^2+0.25*$I$33^2)</f>
        <v>0.60009396486439248</v>
      </c>
      <c r="L94" s="162">
        <f>ABS(AVERAGE(H94:H96)-AVERAGE(I94:I96))</f>
        <v>3.9999999999999147E-2</v>
      </c>
      <c r="M94" s="162">
        <f>ABS(K94+L94)</f>
        <v>0.64009396486439163</v>
      </c>
      <c r="N94" s="87">
        <f t="array" ref="N94">AVERAGE(I94:I96-H94:H96)</f>
        <v>-3.9999999999999737E-2</v>
      </c>
      <c r="O94" s="83"/>
      <c r="P94" s="78"/>
    </row>
    <row r="95" spans="1:16" x14ac:dyDescent="0.2">
      <c r="A95" s="74" t="s">
        <v>95</v>
      </c>
      <c r="B95" s="93"/>
      <c r="C95" s="94"/>
      <c r="D95" s="94"/>
      <c r="E95" s="94"/>
      <c r="F95" s="94"/>
      <c r="G95" s="95"/>
      <c r="H95" s="30">
        <v>5.2</v>
      </c>
      <c r="I95" s="25">
        <v>5.36</v>
      </c>
      <c r="J95" s="284"/>
      <c r="K95" s="163"/>
      <c r="L95" s="163"/>
      <c r="M95" s="163"/>
      <c r="N95" s="88"/>
      <c r="O95" s="84"/>
      <c r="P95" s="78"/>
    </row>
    <row r="96" spans="1:16" ht="13.5" thickBot="1" x14ac:dyDescent="0.25">
      <c r="A96" s="75" t="s">
        <v>99</v>
      </c>
      <c r="B96" s="96"/>
      <c r="C96" s="97"/>
      <c r="D96" s="97"/>
      <c r="E96" s="97"/>
      <c r="F96" s="97"/>
      <c r="G96" s="98"/>
      <c r="H96" s="31">
        <v>5.3</v>
      </c>
      <c r="I96" s="26">
        <v>5.36</v>
      </c>
      <c r="J96" s="285"/>
      <c r="K96" s="164"/>
      <c r="L96" s="164"/>
      <c r="M96" s="164"/>
      <c r="N96" s="89"/>
      <c r="O96" s="85"/>
      <c r="P96" s="78"/>
    </row>
    <row r="97" spans="1:16" x14ac:dyDescent="0.2">
      <c r="A97" s="73" t="s">
        <v>43</v>
      </c>
      <c r="B97" s="144" t="s">
        <v>101</v>
      </c>
      <c r="C97" s="286"/>
      <c r="D97" s="286"/>
      <c r="E97" s="286"/>
      <c r="F97" s="286"/>
      <c r="G97" s="287"/>
      <c r="H97" s="27">
        <v>45.3</v>
      </c>
      <c r="I97" s="32">
        <v>45.3</v>
      </c>
      <c r="J97" s="283" t="str">
        <f>IF(ABS(AVERAGE(H97:H99) - AVERAGE(I97:I99)) &lt;= $K$32, "Paso", "Fallo")</f>
        <v>Paso</v>
      </c>
      <c r="K97" s="163">
        <f>2*SQRT(_xlfn.STDEV.S(H97:H99)^2+_xlfn.STDEV.S(I97:I99)^2+0.084*$I$34^2+0.084*$I$40^2+0.25*$I$33^2)</f>
        <v>0.1636442279254964</v>
      </c>
      <c r="L97" s="162">
        <f>ABS(AVERAGE(H97:H99)-AVERAGE(I97:I99))</f>
        <v>3.3333333333317228E-2</v>
      </c>
      <c r="M97" s="162">
        <f>ABS(K97+L97)</f>
        <v>0.19697756125881363</v>
      </c>
      <c r="N97" s="87">
        <f t="array" ref="N97">AVERAGE(I97:I99-H97:H99)</f>
        <v>-3.3333333333331439E-2</v>
      </c>
      <c r="O97" s="83"/>
      <c r="P97" s="77"/>
    </row>
    <row r="98" spans="1:16" x14ac:dyDescent="0.2">
      <c r="A98" s="74" t="s">
        <v>102</v>
      </c>
      <c r="B98" s="288"/>
      <c r="C98" s="289"/>
      <c r="D98" s="289"/>
      <c r="E98" s="289"/>
      <c r="F98" s="289"/>
      <c r="G98" s="290"/>
      <c r="H98" s="25">
        <v>45.3</v>
      </c>
      <c r="I98" s="30">
        <v>45.3</v>
      </c>
      <c r="J98" s="284"/>
      <c r="K98" s="163"/>
      <c r="L98" s="163"/>
      <c r="M98" s="163"/>
      <c r="N98" s="88"/>
      <c r="O98" s="84"/>
      <c r="P98" s="77"/>
    </row>
    <row r="99" spans="1:16" ht="13.5" thickBot="1" x14ac:dyDescent="0.25">
      <c r="A99" s="75" t="s">
        <v>99</v>
      </c>
      <c r="B99" s="291"/>
      <c r="C99" s="292"/>
      <c r="D99" s="292"/>
      <c r="E99" s="292"/>
      <c r="F99" s="292"/>
      <c r="G99" s="293"/>
      <c r="H99" s="26">
        <v>45.3</v>
      </c>
      <c r="I99" s="31">
        <v>45.2</v>
      </c>
      <c r="J99" s="285"/>
      <c r="K99" s="164"/>
      <c r="L99" s="164"/>
      <c r="M99" s="164"/>
      <c r="N99" s="89"/>
      <c r="O99" s="81"/>
    </row>
    <row r="100" spans="1:16" x14ac:dyDescent="0.2">
      <c r="A100" s="73" t="s">
        <v>43</v>
      </c>
      <c r="B100" s="90" t="s">
        <v>103</v>
      </c>
      <c r="C100" s="275"/>
      <c r="D100" s="275"/>
      <c r="E100" s="275"/>
      <c r="F100" s="275"/>
      <c r="G100" s="276"/>
      <c r="H100" s="32">
        <v>21.5</v>
      </c>
      <c r="I100" s="32">
        <v>21.12</v>
      </c>
      <c r="J100" s="283" t="str">
        <f>IF(ABS(AVERAGE(H100:H102) - AVERAGE(I100:I102)) &lt;= $K$32, "Paso", "Fallo")</f>
        <v>Paso</v>
      </c>
      <c r="K100" s="163">
        <f>2*SQRT(_xlfn.STDEV.S(H100:H102)^2+_xlfn.STDEV.S(I100:I102)^2+0.084*$I$34^2+0.084*$I$40^2+0.25*$I$33^2)</f>
        <v>0.21812710361927379</v>
      </c>
      <c r="L100" s="162">
        <f>ABS(AVERAGE(H100:H102)-AVERAGE(I100:I102))</f>
        <v>0.48666666666666814</v>
      </c>
      <c r="M100" s="162">
        <f>ABS(K100+L100)</f>
        <v>0.70479377028594192</v>
      </c>
      <c r="N100" s="87">
        <f t="array" ref="N100">AVERAGE(I100:I102-H100:H102)</f>
        <v>-0.48666666666666575</v>
      </c>
      <c r="O100" s="81"/>
    </row>
    <row r="101" spans="1:16" x14ac:dyDescent="0.2">
      <c r="A101" s="74" t="s">
        <v>104</v>
      </c>
      <c r="B101" s="277"/>
      <c r="C101" s="278"/>
      <c r="D101" s="278"/>
      <c r="E101" s="278"/>
      <c r="F101" s="278"/>
      <c r="G101" s="279"/>
      <c r="H101" s="30">
        <v>21.5</v>
      </c>
      <c r="I101" s="30">
        <v>20.96</v>
      </c>
      <c r="J101" s="284"/>
      <c r="K101" s="163"/>
      <c r="L101" s="163"/>
      <c r="M101" s="163"/>
      <c r="N101" s="88"/>
      <c r="O101" s="81"/>
    </row>
    <row r="102" spans="1:16" ht="13.5" thickBot="1" x14ac:dyDescent="0.25">
      <c r="A102" s="75" t="s">
        <v>99</v>
      </c>
      <c r="B102" s="280"/>
      <c r="C102" s="281"/>
      <c r="D102" s="281"/>
      <c r="E102" s="281"/>
      <c r="F102" s="281"/>
      <c r="G102" s="282"/>
      <c r="H102" s="31">
        <v>21.5</v>
      </c>
      <c r="I102" s="33">
        <v>20.96</v>
      </c>
      <c r="J102" s="285"/>
      <c r="K102" s="164"/>
      <c r="L102" s="164"/>
      <c r="M102" s="164"/>
      <c r="N102" s="89"/>
      <c r="O102" s="82"/>
    </row>
    <row r="103" spans="1:16" x14ac:dyDescent="0.2">
      <c r="A103" s="23" t="s">
        <v>43</v>
      </c>
      <c r="B103" s="274" t="s">
        <v>105</v>
      </c>
      <c r="C103" s="275"/>
      <c r="D103" s="275"/>
      <c r="E103" s="275"/>
      <c r="F103" s="275"/>
      <c r="G103" s="276"/>
      <c r="H103" s="24">
        <v>-19.100000000000001</v>
      </c>
      <c r="I103" s="32">
        <v>-19.100000000000001</v>
      </c>
      <c r="J103" s="283" t="str">
        <f>IF(ABS(AVERAGE(H103:H105) - AVERAGE(I103:I105)) &lt;= $K$32, "Paso", "Fallo")</f>
        <v>Paso</v>
      </c>
      <c r="K103" s="163">
        <f>2*SQRT(_xlfn.STDEV.S(H103:H105)^2+_xlfn.STDEV.S(I103:I105)^2+0.084*$I$34^2+0.084*$I$40^2+0.25*$I$33^2)</f>
        <v>0.16364422792549929</v>
      </c>
      <c r="L103" s="162">
        <f>ABS(AVERAGE(H103:H105)-AVERAGE(I103:I105))</f>
        <v>3.3333333333331439E-2</v>
      </c>
      <c r="M103" s="162">
        <f>ABS(K103+L103)</f>
        <v>0.19697756125883073</v>
      </c>
      <c r="N103" s="87">
        <f t="array" ref="N103">AVERAGE(I103:I105-H103:H105)</f>
        <v>3.3333333333332625E-2</v>
      </c>
      <c r="O103" s="81"/>
    </row>
    <row r="104" spans="1:16" x14ac:dyDescent="0.2">
      <c r="A104" s="19" t="s">
        <v>45</v>
      </c>
      <c r="B104" s="277"/>
      <c r="C104" s="278"/>
      <c r="D104" s="278"/>
      <c r="E104" s="278"/>
      <c r="F104" s="278"/>
      <c r="G104" s="279"/>
      <c r="H104" s="25">
        <v>-19.2</v>
      </c>
      <c r="I104" s="29">
        <v>-19.100000000000001</v>
      </c>
      <c r="J104" s="284"/>
      <c r="K104" s="163"/>
      <c r="L104" s="163"/>
      <c r="M104" s="163"/>
      <c r="N104" s="88"/>
      <c r="O104" s="81"/>
    </row>
    <row r="105" spans="1:16" ht="13.5" thickBot="1" x14ac:dyDescent="0.25">
      <c r="A105" s="20" t="s">
        <v>112</v>
      </c>
      <c r="B105" s="280"/>
      <c r="C105" s="281"/>
      <c r="D105" s="281"/>
      <c r="E105" s="281"/>
      <c r="F105" s="281"/>
      <c r="G105" s="282"/>
      <c r="H105" s="26">
        <v>-19.100000000000001</v>
      </c>
      <c r="I105" s="69">
        <v>-19.100000000000001</v>
      </c>
      <c r="J105" s="285"/>
      <c r="K105" s="164"/>
      <c r="L105" s="164"/>
      <c r="M105" s="164"/>
      <c r="N105" s="89"/>
      <c r="O105" s="81"/>
    </row>
    <row r="106" spans="1:16" x14ac:dyDescent="0.2">
      <c r="A106" s="23" t="s">
        <v>43</v>
      </c>
      <c r="B106" s="274" t="s">
        <v>106</v>
      </c>
      <c r="C106" s="275"/>
      <c r="D106" s="275"/>
      <c r="E106" s="275"/>
      <c r="F106" s="275"/>
      <c r="G106" s="276"/>
      <c r="H106" s="24">
        <v>-16.5</v>
      </c>
      <c r="I106" s="24">
        <v>-14.48</v>
      </c>
      <c r="J106" s="283" t="str">
        <f>IF(ABS(AVERAGE(H106:H108) - AVERAGE(I106:I108)) &lt;= $K$32, "Paso", "Fallo")</f>
        <v>Paso</v>
      </c>
      <c r="K106" s="163">
        <f>2*SQRT(_xlfn.STDEV.S(H106:H108)^2+_xlfn.STDEV.S(I106:I108)^2+0.084*$I$34^2+0.084*$I$40^2+0.25*$I$33^2)</f>
        <v>0.63349251508337934</v>
      </c>
      <c r="L106" s="162">
        <f>ABS(AVERAGE(H106:H108)-AVERAGE(I106:I108))</f>
        <v>1.5400000000000009</v>
      </c>
      <c r="M106" s="162">
        <f>ABS(K106+L106)</f>
        <v>2.1734925150833804</v>
      </c>
      <c r="N106" s="87">
        <f t="array" ref="N106">AVERAGE(I106:I108-H106:H108)</f>
        <v>1.5400000000000003</v>
      </c>
      <c r="O106" s="81"/>
    </row>
    <row r="107" spans="1:16" x14ac:dyDescent="0.2">
      <c r="A107" s="19" t="s">
        <v>71</v>
      </c>
      <c r="B107" s="277"/>
      <c r="C107" s="278"/>
      <c r="D107" s="278"/>
      <c r="E107" s="278"/>
      <c r="F107" s="278"/>
      <c r="G107" s="279"/>
      <c r="H107" s="25">
        <v>-16.3</v>
      </c>
      <c r="I107" s="25">
        <v>-14.95</v>
      </c>
      <c r="J107" s="284"/>
      <c r="K107" s="163"/>
      <c r="L107" s="163"/>
      <c r="M107" s="163"/>
      <c r="N107" s="88"/>
      <c r="O107" s="81"/>
    </row>
    <row r="108" spans="1:16" ht="13.5" thickBot="1" x14ac:dyDescent="0.25">
      <c r="A108" s="20" t="s">
        <v>112</v>
      </c>
      <c r="B108" s="280"/>
      <c r="C108" s="281"/>
      <c r="D108" s="281"/>
      <c r="E108" s="281"/>
      <c r="F108" s="281"/>
      <c r="G108" s="282"/>
      <c r="H108" s="26">
        <v>-16.2</v>
      </c>
      <c r="I108" s="26">
        <v>-14.95</v>
      </c>
      <c r="J108" s="285"/>
      <c r="K108" s="164"/>
      <c r="L108" s="164"/>
      <c r="M108" s="164"/>
      <c r="N108" s="89"/>
      <c r="O108" s="81"/>
    </row>
    <row r="109" spans="1:16" ht="13.5" thickBot="1" x14ac:dyDescent="0.25">
      <c r="A109" s="23" t="s">
        <v>43</v>
      </c>
      <c r="B109" s="274" t="s">
        <v>107</v>
      </c>
      <c r="C109" s="275"/>
      <c r="D109" s="275"/>
      <c r="E109" s="275"/>
      <c r="F109" s="275"/>
      <c r="G109" s="276"/>
      <c r="H109" s="27" t="s">
        <v>118</v>
      </c>
      <c r="I109" s="27">
        <v>-22.5</v>
      </c>
      <c r="J109" s="283" t="str">
        <f>IF(ABS(AVERAGE(H109:H111) - AVERAGE(I109:I111)) &lt;= $K$32, "Paso", "Fallo")</f>
        <v>Paso</v>
      </c>
      <c r="K109" s="163">
        <f>2*SQRT(_xlfn.STDEV.S(H109:H111)^2+_xlfn.STDEV.S(I109:I111)^2+0.084*$I$34^2+0.084*$I$40^2+0.25*$I$33^2)</f>
        <v>0.23118412575261243</v>
      </c>
      <c r="L109" s="162">
        <f>ABS(AVERAGE(H109:H111)-AVERAGE(I109:I111))</f>
        <v>1.100000000000005</v>
      </c>
      <c r="M109" s="162">
        <f>ABS(K109+L109)</f>
        <v>1.3311841257526174</v>
      </c>
      <c r="N109" s="87" t="e">
        <f t="array" ref="N109">AVERAGE(I109:I111-H109:H111)</f>
        <v>#VALUE!</v>
      </c>
      <c r="O109" s="81"/>
    </row>
    <row r="110" spans="1:16" ht="13.5" thickBot="1" x14ac:dyDescent="0.25">
      <c r="A110" s="19" t="s">
        <v>46</v>
      </c>
      <c r="B110" s="277"/>
      <c r="C110" s="278"/>
      <c r="D110" s="278"/>
      <c r="E110" s="278"/>
      <c r="F110" s="278"/>
      <c r="G110" s="279"/>
      <c r="H110" s="25">
        <v>-23.5</v>
      </c>
      <c r="I110" s="27">
        <v>-22.3</v>
      </c>
      <c r="J110" s="284"/>
      <c r="K110" s="163"/>
      <c r="L110" s="163"/>
      <c r="M110" s="163"/>
      <c r="N110" s="88"/>
      <c r="O110" s="81"/>
    </row>
    <row r="111" spans="1:16" ht="13.5" thickBot="1" x14ac:dyDescent="0.25">
      <c r="A111" s="20" t="s">
        <v>112</v>
      </c>
      <c r="B111" s="280"/>
      <c r="C111" s="281"/>
      <c r="D111" s="281"/>
      <c r="E111" s="281"/>
      <c r="F111" s="281"/>
      <c r="G111" s="282"/>
      <c r="H111" s="26">
        <v>-23.5</v>
      </c>
      <c r="I111" s="27">
        <v>-22.4</v>
      </c>
      <c r="J111" s="285"/>
      <c r="K111" s="164"/>
      <c r="L111" s="164"/>
      <c r="M111" s="164"/>
      <c r="N111" s="89"/>
      <c r="O111" s="81"/>
    </row>
    <row r="112" spans="1:16" x14ac:dyDescent="0.2">
      <c r="A112" s="23" t="s">
        <v>43</v>
      </c>
      <c r="B112" s="274" t="s">
        <v>108</v>
      </c>
      <c r="C112" s="275"/>
      <c r="D112" s="275"/>
      <c r="E112" s="275"/>
      <c r="F112" s="275"/>
      <c r="G112" s="276"/>
      <c r="H112" s="27">
        <v>-23.1</v>
      </c>
      <c r="I112" s="27">
        <v>-20.86</v>
      </c>
      <c r="J112" s="283" t="str">
        <f>IF(ABS(AVERAGE(H112:H114) - AVERAGE(I112:I114)) &lt;= $K$32, "Paso", "Fallo")</f>
        <v>Paso</v>
      </c>
      <c r="K112" s="163">
        <f>2*SQRT(_xlfn.STDEV.S(H112:H114)^2+_xlfn.STDEV.S(I112:I114)^2+0.084*$I$34^2+0.084*$I$40^2+0.25*$I$33^2)</f>
        <v>2.5430649683665849</v>
      </c>
      <c r="L112" s="162">
        <f>ABS(AVERAGE(H112:H114)-AVERAGE(I112:I114))</f>
        <v>0.77333333333334053</v>
      </c>
      <c r="M112" s="162">
        <f>ABS(K112+L112)</f>
        <v>3.3163983016999254</v>
      </c>
      <c r="N112" s="87">
        <f t="array" ref="N112">AVERAGE(I112:I114-H112:H114)</f>
        <v>0.77333333333333465</v>
      </c>
      <c r="O112" s="81"/>
    </row>
    <row r="113" spans="1:15" x14ac:dyDescent="0.2">
      <c r="A113" s="19" t="s">
        <v>44</v>
      </c>
      <c r="B113" s="277"/>
      <c r="C113" s="278"/>
      <c r="D113" s="278"/>
      <c r="E113" s="278"/>
      <c r="F113" s="278"/>
      <c r="G113" s="279"/>
      <c r="H113" s="25">
        <v>-23.1</v>
      </c>
      <c r="I113" s="25">
        <v>-23.05</v>
      </c>
      <c r="J113" s="284"/>
      <c r="K113" s="163"/>
      <c r="L113" s="163"/>
      <c r="M113" s="163"/>
      <c r="N113" s="88"/>
      <c r="O113" s="81"/>
    </row>
    <row r="114" spans="1:15" ht="13.5" thickBot="1" x14ac:dyDescent="0.25">
      <c r="A114" s="20" t="s">
        <v>112</v>
      </c>
      <c r="B114" s="280"/>
      <c r="C114" s="281"/>
      <c r="D114" s="281"/>
      <c r="E114" s="281"/>
      <c r="F114" s="281"/>
      <c r="G114" s="282"/>
      <c r="H114" s="26">
        <v>-23.1</v>
      </c>
      <c r="I114" s="26">
        <v>-23.07</v>
      </c>
      <c r="J114" s="285"/>
      <c r="K114" s="164"/>
      <c r="L114" s="164"/>
      <c r="M114" s="164"/>
      <c r="N114" s="89"/>
      <c r="O114" s="81"/>
    </row>
    <row r="115" spans="1:15" x14ac:dyDescent="0.2">
      <c r="A115" s="23" t="s">
        <v>43</v>
      </c>
      <c r="B115" s="274" t="s">
        <v>109</v>
      </c>
      <c r="C115" s="275"/>
      <c r="D115" s="275"/>
      <c r="E115" s="275"/>
      <c r="F115" s="275"/>
      <c r="G115" s="276"/>
      <c r="H115" s="27">
        <v>-72.900000000000006</v>
      </c>
      <c r="I115" s="27">
        <v>-71.2</v>
      </c>
      <c r="J115" s="283" t="str">
        <f>IF(ABS(AVERAGE(H115:H117) - AVERAGE(I115:I117)) &lt;= $K$32, "Paso", "Fallo")</f>
        <v>Paso</v>
      </c>
      <c r="K115" s="163">
        <f>2*SQRT(_xlfn.STDEV.S(H115:H117)^2+_xlfn.STDEV.S(I115:I117)^2+0.084*$I$34^2+0.084*$I$40^2+0.25*$I$33^2)</f>
        <v>0.63254467562905048</v>
      </c>
      <c r="L115" s="162">
        <f>ABS(AVERAGE(H115:H117)-AVERAGE(I115:I117))</f>
        <v>1.9000000000000057</v>
      </c>
      <c r="M115" s="162">
        <f>ABS(K115+L115)</f>
        <v>2.5325446756290564</v>
      </c>
      <c r="N115" s="87">
        <f t="array" ref="N115">AVERAGE(I115:I117-H115:H117)</f>
        <v>1.900000000000001</v>
      </c>
      <c r="O115" s="81"/>
    </row>
    <row r="116" spans="1:15" x14ac:dyDescent="0.2">
      <c r="A116" s="19" t="s">
        <v>113</v>
      </c>
      <c r="B116" s="277"/>
      <c r="C116" s="278"/>
      <c r="D116" s="278"/>
      <c r="E116" s="278"/>
      <c r="F116" s="278"/>
      <c r="G116" s="279"/>
      <c r="H116" s="25">
        <v>-73.3</v>
      </c>
      <c r="I116" s="25">
        <v>-71.5</v>
      </c>
      <c r="J116" s="284"/>
      <c r="K116" s="163"/>
      <c r="L116" s="163"/>
      <c r="M116" s="163"/>
      <c r="N116" s="88"/>
      <c r="O116" s="81"/>
    </row>
    <row r="117" spans="1:15" ht="13.5" thickBot="1" x14ac:dyDescent="0.25">
      <c r="A117" s="20" t="s">
        <v>112</v>
      </c>
      <c r="B117" s="280"/>
      <c r="C117" s="281"/>
      <c r="D117" s="281"/>
      <c r="E117" s="281"/>
      <c r="F117" s="281"/>
      <c r="G117" s="282"/>
      <c r="H117" s="28">
        <v>-73.3</v>
      </c>
      <c r="I117" s="28">
        <v>-71.099999999999994</v>
      </c>
      <c r="J117" s="285"/>
      <c r="K117" s="164"/>
      <c r="L117" s="164"/>
      <c r="M117" s="164"/>
      <c r="N117" s="89"/>
      <c r="O117" s="81"/>
    </row>
    <row r="118" spans="1:15" x14ac:dyDescent="0.2">
      <c r="A118" s="23" t="s">
        <v>43</v>
      </c>
      <c r="B118" s="274" t="s">
        <v>110</v>
      </c>
      <c r="C118" s="275"/>
      <c r="D118" s="275"/>
      <c r="E118" s="275"/>
      <c r="F118" s="275"/>
      <c r="G118" s="275"/>
      <c r="H118" s="27">
        <v>4.4000000000000004</v>
      </c>
      <c r="I118" s="27">
        <v>5.25</v>
      </c>
      <c r="J118" s="283" t="str">
        <f>IF(ABS(AVERAGE(H118:H120) - AVERAGE(I118:I120)) &lt;= $K$32, "Paso", "Fallo")</f>
        <v>Paso</v>
      </c>
      <c r="K118" s="163">
        <f>2*SQRT(_xlfn.STDEV.S(H118:H120)^2+_xlfn.STDEV.S(I118:I120)^2+0.084*$I$34^2+0.084*$I$40^2+0.25*$I$33^2)</f>
        <v>0.6348066109716668</v>
      </c>
      <c r="L118" s="162">
        <f>ABS(AVERAGE(H118:H120)-AVERAGE(I118:I120))</f>
        <v>0.92166666666666686</v>
      </c>
      <c r="M118" s="162">
        <f>ABS(K118+L118)</f>
        <v>1.5564732776383337</v>
      </c>
      <c r="N118" s="87">
        <f t="array" ref="N118">AVERAGE(I118:I120-H118:H120)</f>
        <v>-0.8966666666666665</v>
      </c>
      <c r="O118" s="81"/>
    </row>
    <row r="119" spans="1:15" x14ac:dyDescent="0.2">
      <c r="A119" s="19" t="s">
        <v>50</v>
      </c>
      <c r="B119" s="277"/>
      <c r="C119" s="278"/>
      <c r="D119" s="278"/>
      <c r="E119" s="278"/>
      <c r="F119" s="278"/>
      <c r="G119" s="278"/>
      <c r="H119" s="25">
        <v>4.5999999999999996</v>
      </c>
      <c r="I119" s="25">
        <v>5.66</v>
      </c>
      <c r="J119" s="284"/>
      <c r="K119" s="163"/>
      <c r="L119" s="163"/>
      <c r="M119" s="163"/>
      <c r="N119" s="88"/>
      <c r="O119" s="81"/>
    </row>
    <row r="120" spans="1:15" ht="13.5" thickBot="1" x14ac:dyDescent="0.25">
      <c r="A120" s="20" t="s">
        <v>112</v>
      </c>
      <c r="B120" s="280"/>
      <c r="C120" s="281"/>
      <c r="D120" s="281"/>
      <c r="E120" s="281"/>
      <c r="F120" s="281"/>
      <c r="G120" s="281"/>
      <c r="H120" s="26">
        <v>4.5999999999999996</v>
      </c>
      <c r="I120" s="26"/>
      <c r="J120" s="285"/>
      <c r="K120" s="164"/>
      <c r="L120" s="164"/>
      <c r="M120" s="164"/>
      <c r="N120" s="89"/>
      <c r="O120" s="81"/>
    </row>
    <row r="121" spans="1:15" x14ac:dyDescent="0.2">
      <c r="A121" s="23" t="s">
        <v>43</v>
      </c>
      <c r="B121" s="274" t="s">
        <v>111</v>
      </c>
      <c r="C121" s="275"/>
      <c r="D121" s="275"/>
      <c r="E121" s="275"/>
      <c r="F121" s="275"/>
      <c r="G121" s="275"/>
      <c r="H121" s="32">
        <v>4.9000000000000004</v>
      </c>
      <c r="I121" s="32">
        <v>6.87</v>
      </c>
      <c r="J121" s="283" t="str">
        <f>IF(ABS(AVERAGE(H121:H123) - AVERAGE(I121:I123)) &lt;= $K$32, "Paso", "Fallo")</f>
        <v>Paso</v>
      </c>
      <c r="K121" s="163">
        <f>2*SQRT(_xlfn.STDEV.S(H121:H123)^2+_xlfn.STDEV.S(I121:I123)^2+0.084*$I$34^2+0.084*$I$40^2+0.25*$I$33^2)</f>
        <v>2.7177649088911249</v>
      </c>
      <c r="L121" s="162">
        <f>ABS(AVERAGE(H121:H123)-AVERAGE(I121:I123))</f>
        <v>1.0099999999999998</v>
      </c>
      <c r="M121" s="162">
        <f>ABS(K121+L121)</f>
        <v>3.7277649088911247</v>
      </c>
      <c r="N121" s="87">
        <f t="array" ref="N121">AVERAGE(I121:I123-H121:H123)</f>
        <v>-0.9600000000000003</v>
      </c>
      <c r="O121" s="81"/>
    </row>
    <row r="122" spans="1:15" x14ac:dyDescent="0.2">
      <c r="A122" s="19" t="s">
        <v>51</v>
      </c>
      <c r="B122" s="277"/>
      <c r="C122" s="278"/>
      <c r="D122" s="278"/>
      <c r="E122" s="278"/>
      <c r="F122" s="278"/>
      <c r="G122" s="278"/>
      <c r="H122" s="30">
        <v>4.9000000000000004</v>
      </c>
      <c r="I122" s="30">
        <v>4.95</v>
      </c>
      <c r="J122" s="284"/>
      <c r="K122" s="163"/>
      <c r="L122" s="163"/>
      <c r="M122" s="163"/>
      <c r="N122" s="88"/>
      <c r="O122" s="81"/>
    </row>
    <row r="123" spans="1:15" ht="13.5" thickBot="1" x14ac:dyDescent="0.25">
      <c r="A123" s="20" t="s">
        <v>112</v>
      </c>
      <c r="B123" s="280"/>
      <c r="C123" s="281"/>
      <c r="D123" s="281"/>
      <c r="E123" s="281"/>
      <c r="F123" s="281"/>
      <c r="G123" s="281"/>
      <c r="H123" s="31">
        <v>4.9000000000000004</v>
      </c>
      <c r="I123" s="31"/>
      <c r="J123" s="285"/>
      <c r="K123" s="164"/>
      <c r="L123" s="164"/>
      <c r="M123" s="164"/>
      <c r="N123" s="89"/>
      <c r="O123" s="81"/>
    </row>
    <row r="124" spans="1:15" x14ac:dyDescent="0.2">
      <c r="A124" s="23" t="s">
        <v>43</v>
      </c>
      <c r="B124" s="274" t="s">
        <v>114</v>
      </c>
      <c r="C124" s="275"/>
      <c r="D124" s="275"/>
      <c r="E124" s="275"/>
      <c r="F124" s="275"/>
      <c r="G124" s="276"/>
      <c r="H124" s="27">
        <v>19.3</v>
      </c>
      <c r="I124" s="32">
        <v>19.3</v>
      </c>
      <c r="J124" s="283" t="str">
        <f>IF(ABS(AVERAGE(H124:H126) - AVERAGE(I124:I126)) &lt;= $K$32, "Paso", "Fallo")</f>
        <v>Paso</v>
      </c>
      <c r="K124" s="163">
        <f>2*SQRT(_xlfn.STDEV.S(H124:H126)^2+_xlfn.STDEV.S(I124:I126)^2+0.084*$I$34^2+0.084*$I$40^2+0.25*$I$33^2)</f>
        <v>0.28304198746240056</v>
      </c>
      <c r="L124" s="162">
        <f>ABS(AVERAGE(H124:H126)-AVERAGE(I124:I126))</f>
        <v>3.3333333333334991E-2</v>
      </c>
      <c r="M124" s="162">
        <f>ABS(K124+L124)</f>
        <v>0.31637532079573555</v>
      </c>
      <c r="N124" s="87">
        <f t="array" ref="N124">AVERAGE(I124:I126-H124:H126)</f>
        <v>-3.3333333333333805E-2</v>
      </c>
      <c r="O124" s="81"/>
    </row>
    <row r="125" spans="1:15" x14ac:dyDescent="0.2">
      <c r="A125" s="19" t="s">
        <v>102</v>
      </c>
      <c r="B125" s="277"/>
      <c r="C125" s="278"/>
      <c r="D125" s="278"/>
      <c r="E125" s="278"/>
      <c r="F125" s="278"/>
      <c r="G125" s="279"/>
      <c r="H125" s="25">
        <v>19.3</v>
      </c>
      <c r="I125" s="30">
        <v>19.3</v>
      </c>
      <c r="J125" s="284"/>
      <c r="K125" s="163"/>
      <c r="L125" s="163"/>
      <c r="M125" s="163"/>
      <c r="N125" s="88"/>
      <c r="O125" s="81"/>
    </row>
    <row r="126" spans="1:15" ht="13.5" thickBot="1" x14ac:dyDescent="0.25">
      <c r="A126" s="20" t="s">
        <v>112</v>
      </c>
      <c r="B126" s="280"/>
      <c r="C126" s="281"/>
      <c r="D126" s="281"/>
      <c r="E126" s="281"/>
      <c r="F126" s="281"/>
      <c r="G126" s="282"/>
      <c r="H126" s="26">
        <v>19.5</v>
      </c>
      <c r="I126" s="31">
        <v>19.399999999999999</v>
      </c>
      <c r="J126" s="285"/>
      <c r="K126" s="164"/>
      <c r="L126" s="164"/>
      <c r="M126" s="164"/>
      <c r="N126" s="89"/>
      <c r="O126" s="82"/>
    </row>
  </sheetData>
  <sheetProtection selectLockedCells="1" selectUnlockedCells="1"/>
  <mergeCells count="248">
    <mergeCell ref="J38:J39"/>
    <mergeCell ref="B38:H39"/>
    <mergeCell ref="J52:J54"/>
    <mergeCell ref="J55:J57"/>
    <mergeCell ref="J58:J60"/>
    <mergeCell ref="J61:J63"/>
    <mergeCell ref="J64:J66"/>
    <mergeCell ref="J67:J69"/>
    <mergeCell ref="J70:J72"/>
    <mergeCell ref="I40:I41"/>
    <mergeCell ref="J40:J41"/>
    <mergeCell ref="B42:G42"/>
    <mergeCell ref="J76:J78"/>
    <mergeCell ref="J49:J51"/>
    <mergeCell ref="B73:G75"/>
    <mergeCell ref="J46:J48"/>
    <mergeCell ref="B85:G87"/>
    <mergeCell ref="J79:J81"/>
    <mergeCell ref="J82:J84"/>
    <mergeCell ref="J85:J87"/>
    <mergeCell ref="J73:J75"/>
    <mergeCell ref="J43:J45"/>
    <mergeCell ref="K97:K99"/>
    <mergeCell ref="K76:K78"/>
    <mergeCell ref="K100:K102"/>
    <mergeCell ref="K55:K57"/>
    <mergeCell ref="K73:K75"/>
    <mergeCell ref="B88:G90"/>
    <mergeCell ref="B91:G93"/>
    <mergeCell ref="B94:G96"/>
    <mergeCell ref="B97:G99"/>
    <mergeCell ref="J88:J90"/>
    <mergeCell ref="K79:K81"/>
    <mergeCell ref="J115:J117"/>
    <mergeCell ref="L109:L111"/>
    <mergeCell ref="B124:G126"/>
    <mergeCell ref="B112:G114"/>
    <mergeCell ref="B115:G117"/>
    <mergeCell ref="J91:J93"/>
    <mergeCell ref="J94:J96"/>
    <mergeCell ref="J97:J99"/>
    <mergeCell ref="J100:J102"/>
    <mergeCell ref="L118:L120"/>
    <mergeCell ref="L121:L123"/>
    <mergeCell ref="J106:J108"/>
    <mergeCell ref="J109:J111"/>
    <mergeCell ref="B103:G105"/>
    <mergeCell ref="J103:J105"/>
    <mergeCell ref="K103:K105"/>
    <mergeCell ref="L100:L102"/>
    <mergeCell ref="L106:L108"/>
    <mergeCell ref="K82:K84"/>
    <mergeCell ref="K85:K87"/>
    <mergeCell ref="K88:K90"/>
    <mergeCell ref="K91:K93"/>
    <mergeCell ref="K94:K96"/>
    <mergeCell ref="M124:M126"/>
    <mergeCell ref="M112:M114"/>
    <mergeCell ref="M94:M96"/>
    <mergeCell ref="M97:M99"/>
    <mergeCell ref="M100:M102"/>
    <mergeCell ref="M106:M108"/>
    <mergeCell ref="B106:G108"/>
    <mergeCell ref="B109:G111"/>
    <mergeCell ref="M115:M117"/>
    <mergeCell ref="K124:K126"/>
    <mergeCell ref="K112:K114"/>
    <mergeCell ref="K115:K117"/>
    <mergeCell ref="K118:K120"/>
    <mergeCell ref="K121:K123"/>
    <mergeCell ref="L124:L126"/>
    <mergeCell ref="K106:K108"/>
    <mergeCell ref="K109:K111"/>
    <mergeCell ref="B100:G102"/>
    <mergeCell ref="J118:J120"/>
    <mergeCell ref="J121:J123"/>
    <mergeCell ref="B118:G120"/>
    <mergeCell ref="B121:G123"/>
    <mergeCell ref="J124:J126"/>
    <mergeCell ref="J112:J114"/>
    <mergeCell ref="M79:M81"/>
    <mergeCell ref="M82:M84"/>
    <mergeCell ref="M85:M87"/>
    <mergeCell ref="M88:M90"/>
    <mergeCell ref="M91:M93"/>
    <mergeCell ref="M76:M78"/>
    <mergeCell ref="L79:L81"/>
    <mergeCell ref="M118:M120"/>
    <mergeCell ref="M121:M123"/>
    <mergeCell ref="L103:L105"/>
    <mergeCell ref="M103:M105"/>
    <mergeCell ref="L82:L84"/>
    <mergeCell ref="L85:L87"/>
    <mergeCell ref="L88:L90"/>
    <mergeCell ref="L91:L93"/>
    <mergeCell ref="L94:L96"/>
    <mergeCell ref="L97:L99"/>
    <mergeCell ref="L112:L114"/>
    <mergeCell ref="L115:L117"/>
    <mergeCell ref="M109:M111"/>
    <mergeCell ref="L76:L78"/>
    <mergeCell ref="L43:L45"/>
    <mergeCell ref="M43:M45"/>
    <mergeCell ref="K49:K51"/>
    <mergeCell ref="L49:L51"/>
    <mergeCell ref="M49:M51"/>
    <mergeCell ref="K52:K54"/>
    <mergeCell ref="L52:L54"/>
    <mergeCell ref="M52:M54"/>
    <mergeCell ref="L73:L75"/>
    <mergeCell ref="L58:L60"/>
    <mergeCell ref="L61:L63"/>
    <mergeCell ref="L64:L66"/>
    <mergeCell ref="L67:L69"/>
    <mergeCell ref="L70:L72"/>
    <mergeCell ref="M61:M63"/>
    <mergeCell ref="M64:M66"/>
    <mergeCell ref="M67:M69"/>
    <mergeCell ref="M70:M72"/>
    <mergeCell ref="M73:M75"/>
    <mergeCell ref="L46:L48"/>
    <mergeCell ref="M46:M48"/>
    <mergeCell ref="M58:M60"/>
    <mergeCell ref="K43:K45"/>
    <mergeCell ref="K46:K48"/>
    <mergeCell ref="A35:A41"/>
    <mergeCell ref="A30:A34"/>
    <mergeCell ref="D12:D13"/>
    <mergeCell ref="C12:C13"/>
    <mergeCell ref="B25:I25"/>
    <mergeCell ref="B24:I24"/>
    <mergeCell ref="A22:A23"/>
    <mergeCell ref="A14:I14"/>
    <mergeCell ref="A15:I15"/>
    <mergeCell ref="A16:I16"/>
    <mergeCell ref="B26:I26"/>
    <mergeCell ref="B27:I27"/>
    <mergeCell ref="B28:I28"/>
    <mergeCell ref="B29:I29"/>
    <mergeCell ref="A17:I17"/>
    <mergeCell ref="A18:I18"/>
    <mergeCell ref="B30:H30"/>
    <mergeCell ref="B31:H31"/>
    <mergeCell ref="B34:H34"/>
    <mergeCell ref="B40:H41"/>
    <mergeCell ref="B32:H32"/>
    <mergeCell ref="B33:H33"/>
    <mergeCell ref="I38:I39"/>
    <mergeCell ref="B35:H37"/>
    <mergeCell ref="I1:J2"/>
    <mergeCell ref="A21:J21"/>
    <mergeCell ref="A19:J19"/>
    <mergeCell ref="A20:I20"/>
    <mergeCell ref="J22:J23"/>
    <mergeCell ref="H5:J5"/>
    <mergeCell ref="D5:F7"/>
    <mergeCell ref="E12:E13"/>
    <mergeCell ref="F12:G13"/>
    <mergeCell ref="A12:B13"/>
    <mergeCell ref="A1:H4"/>
    <mergeCell ref="H6:J6"/>
    <mergeCell ref="F11:G11"/>
    <mergeCell ref="A11:B11"/>
    <mergeCell ref="H8:J8"/>
    <mergeCell ref="H10:J10"/>
    <mergeCell ref="B22:I22"/>
    <mergeCell ref="B23:I23"/>
    <mergeCell ref="H7:J7"/>
    <mergeCell ref="A5:C7"/>
    <mergeCell ref="A8:C10"/>
    <mergeCell ref="D8:E10"/>
    <mergeCell ref="H9:J9"/>
    <mergeCell ref="N91:N93"/>
    <mergeCell ref="N94:N96"/>
    <mergeCell ref="N97:N99"/>
    <mergeCell ref="N100:N102"/>
    <mergeCell ref="B76:G78"/>
    <mergeCell ref="B43:G45"/>
    <mergeCell ref="B49:G51"/>
    <mergeCell ref="B52:G54"/>
    <mergeCell ref="B55:G57"/>
    <mergeCell ref="B58:G60"/>
    <mergeCell ref="B61:G63"/>
    <mergeCell ref="B64:G66"/>
    <mergeCell ref="B67:G69"/>
    <mergeCell ref="B70:G72"/>
    <mergeCell ref="B46:G48"/>
    <mergeCell ref="B79:G81"/>
    <mergeCell ref="B82:G84"/>
    <mergeCell ref="L55:L57"/>
    <mergeCell ref="M55:M57"/>
    <mergeCell ref="K58:K60"/>
    <mergeCell ref="K61:K63"/>
    <mergeCell ref="K64:K66"/>
    <mergeCell ref="K67:K69"/>
    <mergeCell ref="K70:K72"/>
    <mergeCell ref="N103:N105"/>
    <mergeCell ref="N106:N108"/>
    <mergeCell ref="N109:N111"/>
    <mergeCell ref="N112:N114"/>
    <mergeCell ref="N115:N117"/>
    <mergeCell ref="N118:N120"/>
    <mergeCell ref="N121:N123"/>
    <mergeCell ref="N124:N126"/>
    <mergeCell ref="N43:N45"/>
    <mergeCell ref="N46:N48"/>
    <mergeCell ref="N49:N51"/>
    <mergeCell ref="N52:N54"/>
    <mergeCell ref="N55:N57"/>
    <mergeCell ref="N58:N60"/>
    <mergeCell ref="N61:N63"/>
    <mergeCell ref="N64:N66"/>
    <mergeCell ref="N67:N69"/>
    <mergeCell ref="N70:N72"/>
    <mergeCell ref="N73:N75"/>
    <mergeCell ref="N76:N78"/>
    <mergeCell ref="N79:N81"/>
    <mergeCell ref="N82:N84"/>
    <mergeCell ref="N85:N87"/>
    <mergeCell ref="N88:N90"/>
    <mergeCell ref="O70:O72"/>
    <mergeCell ref="O73:O75"/>
    <mergeCell ref="O76:O78"/>
    <mergeCell ref="O79:O81"/>
    <mergeCell ref="O82:O84"/>
    <mergeCell ref="O85:O87"/>
    <mergeCell ref="O88:O90"/>
    <mergeCell ref="O91:O93"/>
    <mergeCell ref="O43:O45"/>
    <mergeCell ref="O46:O48"/>
    <mergeCell ref="O49:O51"/>
    <mergeCell ref="O52:O54"/>
    <mergeCell ref="O55:O57"/>
    <mergeCell ref="O58:O60"/>
    <mergeCell ref="O61:O63"/>
    <mergeCell ref="O64:O66"/>
    <mergeCell ref="O67:O69"/>
    <mergeCell ref="O121:O123"/>
    <mergeCell ref="O124:O126"/>
    <mergeCell ref="O94:O96"/>
    <mergeCell ref="O97:O99"/>
    <mergeCell ref="O100:O102"/>
    <mergeCell ref="O103:O105"/>
    <mergeCell ref="O106:O108"/>
    <mergeCell ref="O109:O111"/>
    <mergeCell ref="O112:O114"/>
    <mergeCell ref="O115:O117"/>
    <mergeCell ref="O118:O120"/>
  </mergeCells>
  <phoneticPr fontId="1" type="noConversion"/>
  <conditionalFormatting sqref="G143:I145">
    <cfRule type="expression" dxfId="17" priority="34" stopIfTrue="1">
      <formula>G143="F"</formula>
    </cfRule>
    <cfRule type="expression" dxfId="16" priority="35" stopIfTrue="1">
      <formula>G143="P"</formula>
    </cfRule>
  </conditionalFormatting>
  <conditionalFormatting sqref="I34:J34">
    <cfRule type="expression" dxfId="15" priority="22" stopIfTrue="1">
      <formula>I34="X"</formula>
    </cfRule>
    <cfRule type="expression" dxfId="14" priority="23" stopIfTrue="1">
      <formula>I34=" "</formula>
    </cfRule>
  </conditionalFormatting>
  <conditionalFormatting sqref="I40:J40">
    <cfRule type="expression" dxfId="13" priority="2" stopIfTrue="1">
      <formula>I40="X"</formula>
    </cfRule>
  </conditionalFormatting>
  <conditionalFormatting sqref="I42:J42">
    <cfRule type="expression" dxfId="12" priority="44" stopIfTrue="1">
      <formula>I42="P"</formula>
    </cfRule>
  </conditionalFormatting>
  <conditionalFormatting sqref="J15 I31:J33">
    <cfRule type="expression" dxfId="11" priority="45" stopIfTrue="1">
      <formula>I15="X"</formula>
    </cfRule>
  </conditionalFormatting>
  <conditionalFormatting sqref="J16:J18">
    <cfRule type="expression" dxfId="10" priority="46" stopIfTrue="1">
      <formula>J16="X"</formula>
    </cfRule>
    <cfRule type="expression" dxfId="9" priority="47" stopIfTrue="1">
      <formula>J16=" "</formula>
    </cfRule>
  </conditionalFormatting>
  <conditionalFormatting sqref="J24:J29">
    <cfRule type="expression" dxfId="8" priority="36" stopIfTrue="1">
      <formula>J24="F"</formula>
    </cfRule>
    <cfRule type="expression" dxfId="7" priority="37" stopIfTrue="1">
      <formula>J24="P"</formula>
    </cfRule>
  </conditionalFormatting>
  <conditionalFormatting sqref="J38">
    <cfRule type="expression" dxfId="6" priority="1" stopIfTrue="1">
      <formula>J38="X"</formula>
    </cfRule>
  </conditionalFormatting>
  <conditionalFormatting sqref="J43:J141">
    <cfRule type="containsText" dxfId="5" priority="3" operator="containsText" text="Fallo">
      <formula>NOT(ISERROR(SEARCH("Fallo",J43)))</formula>
    </cfRule>
    <cfRule type="containsText" dxfId="4" priority="18" operator="containsText" text="Paso">
      <formula>NOT(ISERROR(SEARCH("Paso",J43)))</formula>
    </cfRule>
  </conditionalFormatting>
  <conditionalFormatting sqref="M43 M46 M49 M52 M55 M58 M61 M64 M67 M70 M73 M76 M79 M82 M85 M88 M91 M94 M97 M100 M103 M106 M109 M112 M115 M118 M121 M124 M127 M130 M133 M136 M139 H149:I149">
    <cfRule type="expression" dxfId="3" priority="48" stopIfTrue="1">
      <formula>AND($I$45="Ambiental (2 °C)",$H$56&gt;2)</formula>
    </cfRule>
    <cfRule type="expression" dxfId="2" priority="49" stopIfTrue="1">
      <formula>AND($I$45="Laboratorio (1 °C)",$H$56&gt;1)</formula>
    </cfRule>
  </conditionalFormatting>
  <printOptions horizontalCentered="1"/>
  <pageMargins left="0.78740157480314965" right="0.78740157480314965" top="0.28000000000000003" bottom="0.98425196850393704" header="0" footer="0"/>
  <pageSetup paperSize="9" scale="45" fitToHeight="6" orientation="portrait" r:id="rId1"/>
  <headerFooter alignWithMargins="0">
    <oddFooter>&amp;RPágina &amp;P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election activeCell="A2" sqref="A2"/>
    </sheetView>
  </sheetViews>
  <sheetFormatPr baseColWidth="10" defaultColWidth="11.42578125" defaultRowHeight="12.75" x14ac:dyDescent="0.2"/>
  <sheetData>
    <row r="1" spans="1:2" ht="76.5" x14ac:dyDescent="0.2">
      <c r="A1" s="21" t="s">
        <v>56</v>
      </c>
      <c r="B1" s="22" t="s">
        <v>57</v>
      </c>
    </row>
    <row r="2" spans="1:2" x14ac:dyDescent="0.2">
      <c r="A2" s="16" t="e">
        <f>ABS(AVERAGE(Hoja1!H37:H39)-AVERAGE(Hoja1!I37:I39))</f>
        <v>#DIV/0!</v>
      </c>
      <c r="B2" s="17" t="e">
        <f>ABS(#REF!+A2)</f>
        <v>#REF!</v>
      </c>
    </row>
  </sheetData>
  <conditionalFormatting sqref="B2">
    <cfRule type="expression" dxfId="1" priority="1" stopIfTrue="1">
      <formula>AND($I$42="Ambiental (2 °C)",$I$50&gt;2)</formula>
    </cfRule>
    <cfRule type="expression" dxfId="0" priority="2" stopIfTrue="1">
      <formula>AND($I$42="Laboratorio (1 °C)",$I$50&gt;1)</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3B755E73B090C40A88DB86340752691" ma:contentTypeVersion="0" ma:contentTypeDescription="Crear nuevo documento." ma:contentTypeScope="" ma:versionID="10bf156469c628dca8fdf464c9eca036">
  <xsd:schema xmlns:xsd="http://www.w3.org/2001/XMLSchema" xmlns:xs="http://www.w3.org/2001/XMLSchema" xmlns:p="http://schemas.microsoft.com/office/2006/metadata/properties" targetNamespace="http://schemas.microsoft.com/office/2006/metadata/properties" ma:root="true" ma:fieldsID="ebba8a198e9bb40c3eeca6d0bd41257a">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6D1C0F-F548-4E7D-91FD-D9BCED829E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AF5C227B-6294-48CE-AEA0-ACBA9E681DD0}">
  <ds:schemaRefs>
    <ds:schemaRef ds:uri="http://schemas.microsoft.com/office/2006/documentManagement/types"/>
    <ds:schemaRef ds:uri="http://purl.org/dc/dcmitype/"/>
    <ds:schemaRef ds:uri="http://schemas.microsoft.com/office/2006/metadata/properties"/>
    <ds:schemaRef ds:uri="http://purl.org/dc/elements/1.1/"/>
    <ds:schemaRef ds:uri="http://purl.org/dc/terms/"/>
    <ds:schemaRef ds:uri="http://www.w3.org/XML/1998/namespace"/>
    <ds:schemaRef ds:uri="http://schemas.openxmlformats.org/package/2006/metadata/core-properties"/>
    <ds:schemaRef ds:uri="http://schemas.microsoft.com/office/infopath/2007/PartnerControls"/>
  </ds:schemaRefs>
</ds:datastoreItem>
</file>

<file path=customXml/itemProps3.xml><?xml version="1.0" encoding="utf-8"?>
<ds:datastoreItem xmlns:ds="http://schemas.openxmlformats.org/officeDocument/2006/customXml" ds:itemID="{8C6C5E0A-757C-4CFB-AEF8-61E54ADF4B1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Central de Monitoreo de Temp</vt:lpstr>
      <vt:lpstr>Hoja1</vt:lpstr>
      <vt:lpstr>'Central de Monitoreo de Temp'!Área_de_impresión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 los Arcos</dc:creator>
  <cp:keywords/>
  <dc:description/>
  <cp:lastModifiedBy>Henry Salinas Pedroza</cp:lastModifiedBy>
  <cp:revision/>
  <cp:lastPrinted>2025-06-25T19:44:37Z</cp:lastPrinted>
  <dcterms:created xsi:type="dcterms:W3CDTF">2006-11-22T19:14:30Z</dcterms:created>
  <dcterms:modified xsi:type="dcterms:W3CDTF">2026-10-14T13:53:35Z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0x01010053B755E73B090C40A88DB86340752691</vt:lpwstr>
  </property>
</Properties>
</file>